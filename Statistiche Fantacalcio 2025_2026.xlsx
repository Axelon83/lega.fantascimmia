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https://elisaindustriq-my.sharepoint.com/personal/andrea_giori_sedapta_com/Documents/Desktop/"/>
    </mc:Choice>
  </mc:AlternateContent>
  <xr:revisionPtr revIDLastSave="0" documentId="8_{90ACF9F2-1BC4-45D6-A25C-417F06233F3B}" xr6:coauthVersionLast="36" xr6:coauthVersionMax="36" xr10:uidLastSave="{00000000-0000-0000-0000-000000000000}"/>
  <bookViews>
    <workbookView xWindow="0" yWindow="0" windowWidth="19200" windowHeight="8565" tabRatio="930" firstSheet="1" activeTab="1" xr2:uid="{00000000-000D-0000-FFFF-FFFF00000000}"/>
  </bookViews>
  <sheets>
    <sheet name="Lega 10" sheetId="4" state="hidden" r:id="rId1"/>
    <sheet name="Panchine" sheetId="6" r:id="rId2"/>
    <sheet name="FantaCulo" sheetId="7" r:id="rId3"/>
    <sheet name="Punteggio" sheetId="8" r:id="rId4"/>
    <sheet name="Grafici Fantaculo" sheetId="9" r:id="rId5"/>
    <sheet name="Formula 1" sheetId="11" r:id="rId6"/>
    <sheet name="Partite" sheetId="12" r:id="rId7"/>
    <sheet name="Bonus-Malus" sheetId="15" r:id="rId8"/>
    <sheet name="Bonus-Malus Avversari" sheetId="21" r:id="rId9"/>
    <sheet name="Tutti vs Tutti e Punti contro" sheetId="16" r:id="rId10"/>
    <sheet name="Valore Rosa" sheetId="19" r:id="rId11"/>
    <sheet name="Totali Partite dal 2016" sheetId="17" r:id="rId12"/>
    <sheet name="Totali Bonus Malus dal 2017" sheetId="18" r:id="rId13"/>
    <sheet name="Albo D'Oro" sheetId="20" r:id="rId14"/>
    <sheet name="Previsioni" sheetId="22" r:id="rId15"/>
    <sheet name="RAW DATA andamento" sheetId="10" state="hidden" r:id="rId16"/>
    <sheet name="Calcolo Delta" sheetId="23" state="hidden" r:id="rId17"/>
  </sheets>
  <definedNames>
    <definedName name="_xlnm._FilterDatabase" localSheetId="7" hidden="1">'Bonus-Malus'!$A$1:$AH$1</definedName>
    <definedName name="_xlnm._FilterDatabase" localSheetId="8" hidden="1">'Bonus-Malus Avversari'!$A$1:$W$1</definedName>
    <definedName name="_xlnm._FilterDatabase" localSheetId="12" hidden="1">'Totali Bonus Malus dal 2017'!$A$1:$Z$1</definedName>
    <definedName name="_xlnm._FilterDatabase" localSheetId="11" hidden="1">'Totali Partite dal 2016'!$A$1:$L$1</definedName>
  </definedNames>
  <calcPr calcId="191029"/>
  <pivotCaches>
    <pivotCache cacheId="0" r:id="rId18"/>
    <pivotCache cacheId="1" r:id="rId19"/>
  </pivotCaches>
</workbook>
</file>

<file path=xl/calcChain.xml><?xml version="1.0" encoding="utf-8"?>
<calcChain xmlns="http://schemas.openxmlformats.org/spreadsheetml/2006/main">
  <c r="M47" i="20" l="1"/>
  <c r="M48" i="20"/>
  <c r="M49" i="20"/>
  <c r="M50" i="20"/>
  <c r="M51" i="20"/>
  <c r="M52" i="20"/>
  <c r="M53" i="20"/>
  <c r="M54" i="20"/>
  <c r="M55" i="20"/>
  <c r="M46" i="20"/>
  <c r="AO37" i="7" l="1"/>
  <c r="AK37" i="7"/>
  <c r="AG37" i="7"/>
  <c r="AC37" i="7"/>
  <c r="Y37" i="7"/>
  <c r="U37" i="7"/>
  <c r="Q37" i="7"/>
  <c r="M37" i="7"/>
  <c r="I37" i="7"/>
  <c r="E37" i="7"/>
  <c r="F38" i="19" l="1"/>
  <c r="G38" i="19"/>
  <c r="U38" i="19"/>
  <c r="V38" i="19"/>
  <c r="C38" i="19"/>
  <c r="D38" i="19"/>
  <c r="I38" i="19"/>
  <c r="J38" i="19"/>
  <c r="L38" i="19"/>
  <c r="M38" i="19"/>
  <c r="AD38" i="19"/>
  <c r="AE38" i="19"/>
  <c r="AA38" i="19"/>
  <c r="AB38" i="19"/>
  <c r="O38" i="19"/>
  <c r="P38" i="19"/>
  <c r="R38" i="19"/>
  <c r="S38" i="19"/>
  <c r="X38" i="19"/>
  <c r="Y38" i="19"/>
  <c r="AO36" i="7"/>
  <c r="AK36" i="7"/>
  <c r="AG36" i="7"/>
  <c r="AC36" i="7"/>
  <c r="Y36" i="7"/>
  <c r="U36" i="7"/>
  <c r="Q36" i="7"/>
  <c r="M36" i="7"/>
  <c r="I36" i="7"/>
  <c r="E36" i="7"/>
  <c r="AO35" i="7" l="1"/>
  <c r="AK35" i="7"/>
  <c r="AG35" i="7"/>
  <c r="AC35" i="7"/>
  <c r="Y35" i="7"/>
  <c r="U35" i="7"/>
  <c r="Q35" i="7"/>
  <c r="M35" i="7"/>
  <c r="I35" i="7"/>
  <c r="E35" i="7"/>
  <c r="F37" i="19" l="1"/>
  <c r="G37" i="19"/>
  <c r="U37" i="19"/>
  <c r="V37" i="19"/>
  <c r="C37" i="19"/>
  <c r="D37" i="19"/>
  <c r="I37" i="19"/>
  <c r="J37" i="19"/>
  <c r="L37" i="19"/>
  <c r="M37" i="19"/>
  <c r="AD37" i="19"/>
  <c r="AE37" i="19"/>
  <c r="AA37" i="19"/>
  <c r="AB37" i="19"/>
  <c r="O37" i="19"/>
  <c r="P37" i="19"/>
  <c r="R37" i="19"/>
  <c r="S37" i="19"/>
  <c r="X37" i="19"/>
  <c r="Y37" i="19"/>
  <c r="F36" i="19"/>
  <c r="G36" i="19"/>
  <c r="U36" i="19"/>
  <c r="V36" i="19"/>
  <c r="C36" i="19"/>
  <c r="D36" i="19"/>
  <c r="I36" i="19"/>
  <c r="J36" i="19"/>
  <c r="L36" i="19"/>
  <c r="M36" i="19"/>
  <c r="AD36" i="19"/>
  <c r="AE36" i="19"/>
  <c r="AA36" i="19"/>
  <c r="AB36" i="19"/>
  <c r="O36" i="19"/>
  <c r="P36" i="19"/>
  <c r="R36" i="19"/>
  <c r="S36" i="19"/>
  <c r="X36" i="19"/>
  <c r="Y36" i="19"/>
  <c r="F35" i="19" l="1"/>
  <c r="G35" i="19"/>
  <c r="U35" i="19"/>
  <c r="V35" i="19"/>
  <c r="C35" i="19"/>
  <c r="D35" i="19"/>
  <c r="I35" i="19"/>
  <c r="J35" i="19"/>
  <c r="L35" i="19"/>
  <c r="M35" i="19"/>
  <c r="AD35" i="19"/>
  <c r="AE35" i="19"/>
  <c r="AA35" i="19"/>
  <c r="AB35" i="19"/>
  <c r="O35" i="19"/>
  <c r="P35" i="19"/>
  <c r="R35" i="19"/>
  <c r="S35" i="19"/>
  <c r="X35" i="19"/>
  <c r="Y35" i="19"/>
  <c r="AO34" i="7"/>
  <c r="AK34" i="7"/>
  <c r="AG34" i="7"/>
  <c r="AC34" i="7"/>
  <c r="Y34" i="7"/>
  <c r="U34" i="7"/>
  <c r="Q34" i="7"/>
  <c r="M34" i="7"/>
  <c r="I34" i="7"/>
  <c r="E34" i="7"/>
  <c r="AO33" i="7" l="1"/>
  <c r="AK33" i="7"/>
  <c r="AG33" i="7"/>
  <c r="AC33" i="7"/>
  <c r="Y33" i="7"/>
  <c r="U33" i="7"/>
  <c r="Q33" i="7"/>
  <c r="M33" i="7"/>
  <c r="I33" i="7"/>
  <c r="E33" i="7"/>
  <c r="AO32" i="7" l="1"/>
  <c r="AK32" i="7"/>
  <c r="AG32" i="7"/>
  <c r="AC32" i="7"/>
  <c r="Y32" i="7"/>
  <c r="U32" i="7"/>
  <c r="Q32" i="7"/>
  <c r="M32" i="7"/>
  <c r="I32" i="7"/>
  <c r="E32" i="7"/>
  <c r="F34" i="19" l="1"/>
  <c r="G34" i="19"/>
  <c r="U34" i="19"/>
  <c r="V34" i="19"/>
  <c r="C34" i="19"/>
  <c r="D34" i="19"/>
  <c r="I34" i="19"/>
  <c r="J34" i="19"/>
  <c r="L34" i="19"/>
  <c r="M34" i="19"/>
  <c r="AD34" i="19"/>
  <c r="AE34" i="19"/>
  <c r="AA34" i="19"/>
  <c r="AB34" i="19"/>
  <c r="O34" i="19"/>
  <c r="P34" i="19"/>
  <c r="R34" i="19"/>
  <c r="S34" i="19"/>
  <c r="X34" i="19"/>
  <c r="Y34" i="19"/>
  <c r="F33" i="19" l="1"/>
  <c r="G33" i="19"/>
  <c r="U33" i="19"/>
  <c r="V33" i="19"/>
  <c r="C33" i="19"/>
  <c r="D33" i="19"/>
  <c r="I33" i="19"/>
  <c r="J33" i="19"/>
  <c r="L33" i="19"/>
  <c r="M33" i="19"/>
  <c r="AD33" i="19"/>
  <c r="AE33" i="19"/>
  <c r="AA33" i="19"/>
  <c r="AB33" i="19"/>
  <c r="O33" i="19"/>
  <c r="P33" i="19"/>
  <c r="R33" i="19"/>
  <c r="S33" i="19"/>
  <c r="X33" i="19"/>
  <c r="Y33" i="19"/>
  <c r="AO31" i="7" l="1"/>
  <c r="AK31" i="7"/>
  <c r="AG31" i="7"/>
  <c r="AC31" i="7"/>
  <c r="Y31" i="7"/>
  <c r="U31" i="7"/>
  <c r="Q31" i="7"/>
  <c r="M31" i="7"/>
  <c r="I31" i="7"/>
  <c r="E31" i="7"/>
  <c r="AO30" i="7" l="1"/>
  <c r="AK30" i="7"/>
  <c r="AG30" i="7"/>
  <c r="AC30" i="7"/>
  <c r="Y30" i="7"/>
  <c r="U30" i="7"/>
  <c r="Q30" i="7"/>
  <c r="M30" i="7"/>
  <c r="I30" i="7"/>
  <c r="E30" i="7"/>
  <c r="F32" i="19" l="1"/>
  <c r="G32" i="19"/>
  <c r="U32" i="19"/>
  <c r="V32" i="19"/>
  <c r="C32" i="19"/>
  <c r="D32" i="19"/>
  <c r="M22" i="19"/>
  <c r="I32" i="19"/>
  <c r="J32" i="19"/>
  <c r="L32" i="19"/>
  <c r="M32" i="19"/>
  <c r="AD32" i="19"/>
  <c r="AE32" i="19"/>
  <c r="AA32" i="19"/>
  <c r="AB32" i="19"/>
  <c r="O32" i="19"/>
  <c r="P32" i="19"/>
  <c r="R32" i="19"/>
  <c r="S32" i="19"/>
  <c r="X32" i="19"/>
  <c r="Y32" i="19"/>
  <c r="M24" i="19"/>
  <c r="F31" i="19" l="1"/>
  <c r="G31" i="19"/>
  <c r="U31" i="19"/>
  <c r="V31" i="19"/>
  <c r="C31" i="19"/>
  <c r="D31" i="19"/>
  <c r="I31" i="19"/>
  <c r="J31" i="19"/>
  <c r="L31" i="19"/>
  <c r="M31" i="19"/>
  <c r="AD31" i="19"/>
  <c r="AE31" i="19"/>
  <c r="AA31" i="19"/>
  <c r="AB31" i="19"/>
  <c r="O31" i="19"/>
  <c r="P31" i="19"/>
  <c r="R31" i="19"/>
  <c r="S31" i="19"/>
  <c r="X31" i="19"/>
  <c r="Y31" i="19"/>
  <c r="AO29" i="7" l="1"/>
  <c r="AK29" i="7"/>
  <c r="AG29" i="7"/>
  <c r="AC29" i="7"/>
  <c r="Y29" i="7"/>
  <c r="U29" i="7"/>
  <c r="Q29" i="7"/>
  <c r="M29" i="7"/>
  <c r="I29" i="7"/>
  <c r="E29" i="7"/>
  <c r="AO28" i="7" l="1"/>
  <c r="AK28" i="7"/>
  <c r="AG28" i="7"/>
  <c r="AC28" i="7"/>
  <c r="Y28" i="7"/>
  <c r="U28" i="7"/>
  <c r="Q28" i="7"/>
  <c r="M28" i="7"/>
  <c r="I28" i="7"/>
  <c r="E28" i="7"/>
  <c r="AO27" i="7"/>
  <c r="AK27" i="7"/>
  <c r="AG27" i="7"/>
  <c r="AC27" i="7"/>
  <c r="Y27" i="7"/>
  <c r="U27" i="7"/>
  <c r="Q27" i="7"/>
  <c r="M27" i="7"/>
  <c r="I27" i="7"/>
  <c r="E27" i="7"/>
  <c r="F30" i="19" l="1"/>
  <c r="G30" i="19"/>
  <c r="U30" i="19"/>
  <c r="V30" i="19"/>
  <c r="C30" i="19"/>
  <c r="D30" i="19"/>
  <c r="I30" i="19"/>
  <c r="J30" i="19"/>
  <c r="L30" i="19"/>
  <c r="M30" i="19"/>
  <c r="AD30" i="19"/>
  <c r="AE30" i="19"/>
  <c r="AA30" i="19"/>
  <c r="AB30" i="19"/>
  <c r="O30" i="19"/>
  <c r="P30" i="19"/>
  <c r="R30" i="19"/>
  <c r="S30" i="19"/>
  <c r="X30" i="19"/>
  <c r="Y30" i="19"/>
  <c r="AO26" i="7" l="1"/>
  <c r="AK26" i="7"/>
  <c r="AG26" i="7"/>
  <c r="AC26" i="7"/>
  <c r="Y26" i="7"/>
  <c r="U26" i="7"/>
  <c r="Q26" i="7"/>
  <c r="M26" i="7"/>
  <c r="I26" i="7"/>
  <c r="E26" i="7"/>
  <c r="F29" i="19" l="1"/>
  <c r="G29" i="19"/>
  <c r="U29" i="19"/>
  <c r="V29" i="19"/>
  <c r="C29" i="19"/>
  <c r="D29" i="19"/>
  <c r="I29" i="19"/>
  <c r="J29" i="19"/>
  <c r="L29" i="19"/>
  <c r="M29" i="19"/>
  <c r="AD29" i="19"/>
  <c r="AE29" i="19"/>
  <c r="AA29" i="19"/>
  <c r="AB29" i="19"/>
  <c r="O29" i="19"/>
  <c r="P29" i="19"/>
  <c r="R29" i="19"/>
  <c r="S29" i="19"/>
  <c r="X29" i="19"/>
  <c r="Y29" i="19"/>
  <c r="F28" i="19" l="1"/>
  <c r="G28" i="19"/>
  <c r="U28" i="19"/>
  <c r="V28" i="19"/>
  <c r="C28" i="19"/>
  <c r="D28" i="19"/>
  <c r="I28" i="19"/>
  <c r="J28" i="19"/>
  <c r="L28" i="19"/>
  <c r="M28" i="19"/>
  <c r="AD28" i="19"/>
  <c r="AE28" i="19"/>
  <c r="AA28" i="19"/>
  <c r="AB28" i="19"/>
  <c r="O28" i="19"/>
  <c r="P28" i="19"/>
  <c r="R28" i="19"/>
  <c r="S28" i="19"/>
  <c r="X28" i="19"/>
  <c r="Y28" i="19"/>
  <c r="F27" i="19" l="1"/>
  <c r="G27" i="19"/>
  <c r="U27" i="19"/>
  <c r="V27" i="19"/>
  <c r="C27" i="19"/>
  <c r="D27" i="19"/>
  <c r="I27" i="19"/>
  <c r="J27" i="19"/>
  <c r="L27" i="19"/>
  <c r="M27" i="19"/>
  <c r="AD27" i="19"/>
  <c r="AE27" i="19"/>
  <c r="AA27" i="19"/>
  <c r="AB27" i="19"/>
  <c r="O27" i="19"/>
  <c r="P27" i="19"/>
  <c r="R27" i="19"/>
  <c r="S27" i="19"/>
  <c r="X27" i="19"/>
  <c r="Y27" i="19"/>
  <c r="AO25" i="7" l="1"/>
  <c r="AK25" i="7"/>
  <c r="AG25" i="7"/>
  <c r="AC25" i="7"/>
  <c r="Y25" i="7"/>
  <c r="U25" i="7"/>
  <c r="Q25" i="7"/>
  <c r="M25" i="7"/>
  <c r="I25" i="7"/>
  <c r="E25" i="7"/>
  <c r="AO24" i="7" l="1"/>
  <c r="AK24" i="7"/>
  <c r="AG24" i="7"/>
  <c r="AC24" i="7"/>
  <c r="Y24" i="7"/>
  <c r="U24" i="7"/>
  <c r="Q24" i="7"/>
  <c r="M24" i="7"/>
  <c r="I24" i="7"/>
  <c r="E24" i="7"/>
  <c r="AO23" i="7"/>
  <c r="AK23" i="7"/>
  <c r="AG23" i="7"/>
  <c r="AC23" i="7"/>
  <c r="Y23" i="7"/>
  <c r="U23" i="7"/>
  <c r="Q23" i="7"/>
  <c r="M23" i="7"/>
  <c r="I23" i="7"/>
  <c r="E23" i="7"/>
  <c r="F26" i="19" l="1"/>
  <c r="G26" i="19"/>
  <c r="U26" i="19"/>
  <c r="V26" i="19"/>
  <c r="C26" i="19"/>
  <c r="D26" i="19"/>
  <c r="I26" i="19"/>
  <c r="J26" i="19"/>
  <c r="L26" i="19"/>
  <c r="M26" i="19"/>
  <c r="AD26" i="19"/>
  <c r="AE26" i="19"/>
  <c r="AA26" i="19"/>
  <c r="AB26" i="19"/>
  <c r="O26" i="19"/>
  <c r="P26" i="19"/>
  <c r="R26" i="19"/>
  <c r="S26" i="19"/>
  <c r="X26" i="19"/>
  <c r="Y26" i="19"/>
  <c r="F25" i="19" l="1"/>
  <c r="G25" i="19"/>
  <c r="U25" i="19"/>
  <c r="V25" i="19"/>
  <c r="C25" i="19"/>
  <c r="D25" i="19"/>
  <c r="I25" i="19"/>
  <c r="J25" i="19"/>
  <c r="L25" i="19"/>
  <c r="M25" i="19"/>
  <c r="AD25" i="19"/>
  <c r="AE25" i="19"/>
  <c r="AA25" i="19"/>
  <c r="AB25" i="19"/>
  <c r="O25" i="19"/>
  <c r="P25" i="19"/>
  <c r="R25" i="19"/>
  <c r="S25" i="19"/>
  <c r="X25" i="19"/>
  <c r="Y25" i="19"/>
  <c r="F24" i="19" l="1"/>
  <c r="G24" i="19"/>
  <c r="U24" i="19"/>
  <c r="V24" i="19"/>
  <c r="C24" i="19"/>
  <c r="D24" i="19"/>
  <c r="I24" i="19"/>
  <c r="J24" i="19"/>
  <c r="L24" i="19"/>
  <c r="AD24" i="19"/>
  <c r="AE24" i="19"/>
  <c r="AA24" i="19"/>
  <c r="AB24" i="19"/>
  <c r="O24" i="19"/>
  <c r="P24" i="19"/>
  <c r="R24" i="19"/>
  <c r="S24" i="19"/>
  <c r="X24" i="19"/>
  <c r="Y24" i="19"/>
  <c r="AO22" i="7" l="1"/>
  <c r="AK22" i="7"/>
  <c r="AG22" i="7"/>
  <c r="AC22" i="7"/>
  <c r="Y22" i="7"/>
  <c r="U22" i="7"/>
  <c r="Q22" i="7"/>
  <c r="M22" i="7"/>
  <c r="I22" i="7"/>
  <c r="E22" i="7"/>
  <c r="AO21" i="7" l="1"/>
  <c r="AK21" i="7"/>
  <c r="AG21" i="7"/>
  <c r="AC21" i="7"/>
  <c r="Y21" i="7"/>
  <c r="U21" i="7"/>
  <c r="Q21" i="7"/>
  <c r="M21" i="7"/>
  <c r="I21" i="7"/>
  <c r="E21" i="7"/>
  <c r="AO20" i="7" l="1"/>
  <c r="AK20" i="7"/>
  <c r="AG20" i="7"/>
  <c r="AC20" i="7"/>
  <c r="Y20" i="7"/>
  <c r="U20" i="7"/>
  <c r="Q20" i="7"/>
  <c r="M20" i="7"/>
  <c r="I20" i="7"/>
  <c r="E20" i="7"/>
  <c r="F23" i="19" l="1"/>
  <c r="G23" i="19"/>
  <c r="U23" i="19"/>
  <c r="V23" i="19"/>
  <c r="C23" i="19"/>
  <c r="D23" i="19"/>
  <c r="I23" i="19"/>
  <c r="J23" i="19"/>
  <c r="L23" i="19"/>
  <c r="M23" i="19"/>
  <c r="AD23" i="19"/>
  <c r="AE23" i="19"/>
  <c r="AA23" i="19"/>
  <c r="AB23" i="19"/>
  <c r="O23" i="19"/>
  <c r="P23" i="19"/>
  <c r="R23" i="19"/>
  <c r="S23" i="19"/>
  <c r="X23" i="19"/>
  <c r="Y23" i="19"/>
  <c r="U22" i="19" l="1"/>
  <c r="V22" i="19"/>
  <c r="C22" i="19"/>
  <c r="D22" i="19"/>
  <c r="I22" i="19"/>
  <c r="J22" i="19"/>
  <c r="L22" i="19"/>
  <c r="F22" i="19"/>
  <c r="G22" i="19"/>
  <c r="AD22" i="19"/>
  <c r="AE22" i="19"/>
  <c r="AA22" i="19"/>
  <c r="AB22" i="19"/>
  <c r="O22" i="19"/>
  <c r="P22" i="19"/>
  <c r="R22" i="19"/>
  <c r="S22" i="19"/>
  <c r="X22" i="19"/>
  <c r="Y22" i="19"/>
  <c r="F21" i="19" l="1"/>
  <c r="G21" i="19"/>
  <c r="U21" i="19"/>
  <c r="V21" i="19"/>
  <c r="C21" i="19"/>
  <c r="D21" i="19"/>
  <c r="I21" i="19"/>
  <c r="J21" i="19"/>
  <c r="L21" i="19"/>
  <c r="M21" i="19"/>
  <c r="AD21" i="19"/>
  <c r="AE21" i="19"/>
  <c r="AA21" i="19"/>
  <c r="AB21" i="19"/>
  <c r="O21" i="19"/>
  <c r="P21" i="19"/>
  <c r="R21" i="19"/>
  <c r="S21" i="19"/>
  <c r="X21" i="19"/>
  <c r="Y21" i="19"/>
  <c r="AO19" i="7" l="1"/>
  <c r="AK19" i="7"/>
  <c r="AG19" i="7"/>
  <c r="AC19" i="7"/>
  <c r="Y19" i="7"/>
  <c r="U19" i="7"/>
  <c r="Q19" i="7"/>
  <c r="M19" i="7"/>
  <c r="I19" i="7"/>
  <c r="E19" i="7"/>
  <c r="AO18" i="7" l="1"/>
  <c r="AK18" i="7"/>
  <c r="AG18" i="7"/>
  <c r="AC18" i="7"/>
  <c r="Y18" i="7"/>
  <c r="U18" i="7"/>
  <c r="Q18" i="7"/>
  <c r="M18" i="7"/>
  <c r="I18" i="7"/>
  <c r="E18" i="7"/>
  <c r="F20" i="19" l="1"/>
  <c r="G20" i="19"/>
  <c r="U20" i="19"/>
  <c r="V20" i="19"/>
  <c r="C20" i="19"/>
  <c r="D20" i="19"/>
  <c r="I20" i="19"/>
  <c r="J20" i="19"/>
  <c r="L20" i="19"/>
  <c r="M20" i="19"/>
  <c r="AD20" i="19"/>
  <c r="AE20" i="19"/>
  <c r="AA20" i="19"/>
  <c r="AB20" i="19"/>
  <c r="O20" i="19"/>
  <c r="P20" i="19"/>
  <c r="R20" i="19"/>
  <c r="S20" i="19"/>
  <c r="X20" i="19"/>
  <c r="Y20" i="19"/>
  <c r="AO17" i="7" l="1"/>
  <c r="AK17" i="7"/>
  <c r="AG17" i="7"/>
  <c r="AC17" i="7"/>
  <c r="Y17" i="7"/>
  <c r="U17" i="7"/>
  <c r="Q17" i="7"/>
  <c r="M17" i="7"/>
  <c r="I17" i="7"/>
  <c r="E17" i="7"/>
  <c r="AO16" i="7" l="1"/>
  <c r="AK16" i="7"/>
  <c r="AG16" i="7"/>
  <c r="AC16" i="7"/>
  <c r="Y16" i="7"/>
  <c r="U16" i="7"/>
  <c r="Q16" i="7"/>
  <c r="M16" i="7"/>
  <c r="I16" i="7"/>
  <c r="E16" i="7"/>
  <c r="F19" i="19" l="1"/>
  <c r="G19" i="19"/>
  <c r="U19" i="19"/>
  <c r="V19" i="19"/>
  <c r="C19" i="19"/>
  <c r="D19" i="19"/>
  <c r="I19" i="19"/>
  <c r="J19" i="19"/>
  <c r="L19" i="19"/>
  <c r="M19" i="19"/>
  <c r="AD19" i="19"/>
  <c r="AE19" i="19"/>
  <c r="AA19" i="19"/>
  <c r="AB19" i="19"/>
  <c r="O19" i="19"/>
  <c r="P19" i="19"/>
  <c r="R19" i="19"/>
  <c r="S19" i="19"/>
  <c r="X19" i="19"/>
  <c r="Y19" i="19"/>
  <c r="F18" i="19" l="1"/>
  <c r="G18" i="19"/>
  <c r="F17" i="19"/>
  <c r="G17" i="19"/>
  <c r="U18" i="19"/>
  <c r="V18" i="19"/>
  <c r="U17" i="19"/>
  <c r="V17" i="19"/>
  <c r="C18" i="19"/>
  <c r="D18" i="19"/>
  <c r="C17" i="19"/>
  <c r="D17" i="19"/>
  <c r="I18" i="19"/>
  <c r="J18" i="19"/>
  <c r="I17" i="19"/>
  <c r="J17" i="19"/>
  <c r="L18" i="19"/>
  <c r="M18" i="19"/>
  <c r="L17" i="19"/>
  <c r="M17" i="19"/>
  <c r="AD18" i="19"/>
  <c r="AE18" i="19"/>
  <c r="AD17" i="19"/>
  <c r="AE17" i="19"/>
  <c r="AA18" i="19"/>
  <c r="AB18" i="19"/>
  <c r="AA17" i="19"/>
  <c r="AB17" i="19"/>
  <c r="O18" i="19"/>
  <c r="P18" i="19"/>
  <c r="O17" i="19"/>
  <c r="P17" i="19"/>
  <c r="R18" i="19"/>
  <c r="S18" i="19"/>
  <c r="R17" i="19"/>
  <c r="S17" i="19"/>
  <c r="X18" i="19"/>
  <c r="Y18" i="19"/>
  <c r="X17" i="19"/>
  <c r="Y17" i="19"/>
  <c r="F16" i="19" l="1"/>
  <c r="G16" i="19"/>
  <c r="U16" i="19"/>
  <c r="V16" i="19"/>
  <c r="C16" i="19"/>
  <c r="D16" i="19"/>
  <c r="I16" i="19"/>
  <c r="J16" i="19"/>
  <c r="L16" i="19"/>
  <c r="M16" i="19"/>
  <c r="AD16" i="19"/>
  <c r="AE16" i="19"/>
  <c r="AA16" i="19"/>
  <c r="AB16" i="19"/>
  <c r="O16" i="19"/>
  <c r="P16" i="19"/>
  <c r="R16" i="19"/>
  <c r="S16" i="19"/>
  <c r="X16" i="19"/>
  <c r="Y16" i="19"/>
  <c r="AO15" i="7"/>
  <c r="AK15" i="7"/>
  <c r="AG15" i="7"/>
  <c r="AC15" i="7"/>
  <c r="Y15" i="7"/>
  <c r="U15" i="7"/>
  <c r="Q15" i="7"/>
  <c r="M15" i="7"/>
  <c r="I15" i="7"/>
  <c r="E15" i="7"/>
  <c r="AO14" i="7"/>
  <c r="AK14" i="7"/>
  <c r="AG14" i="7"/>
  <c r="AC14" i="7"/>
  <c r="Y14" i="7"/>
  <c r="U14" i="7"/>
  <c r="Q14" i="7"/>
  <c r="M14" i="7"/>
  <c r="I14" i="7"/>
  <c r="E14" i="7"/>
  <c r="P45" i="8"/>
  <c r="AO13" i="7" l="1"/>
  <c r="AK13" i="7"/>
  <c r="AG13" i="7"/>
  <c r="AC13" i="7"/>
  <c r="Y13" i="7"/>
  <c r="U13" i="7"/>
  <c r="Q13" i="7"/>
  <c r="M13" i="7"/>
  <c r="I13" i="7"/>
  <c r="E13" i="7"/>
  <c r="F15" i="19"/>
  <c r="G15" i="19"/>
  <c r="U15" i="19"/>
  <c r="V15" i="19"/>
  <c r="C15" i="19"/>
  <c r="D15" i="19"/>
  <c r="I15" i="19"/>
  <c r="J15" i="19"/>
  <c r="L15" i="19"/>
  <c r="M15" i="19"/>
  <c r="AD15" i="19"/>
  <c r="AE15" i="19"/>
  <c r="AA15" i="19"/>
  <c r="AB15" i="19"/>
  <c r="O15" i="19"/>
  <c r="P15" i="19"/>
  <c r="R15" i="19"/>
  <c r="S15" i="19"/>
  <c r="X15" i="19"/>
  <c r="Y15" i="19"/>
  <c r="AO12" i="7" l="1"/>
  <c r="AK12" i="7"/>
  <c r="AG12" i="7"/>
  <c r="AC12" i="7"/>
  <c r="Y12" i="7"/>
  <c r="U12" i="7"/>
  <c r="Q12" i="7"/>
  <c r="M12" i="7"/>
  <c r="I12" i="7"/>
  <c r="E12" i="7"/>
  <c r="F14" i="19" l="1"/>
  <c r="G14" i="19"/>
  <c r="U14" i="19"/>
  <c r="V14" i="19"/>
  <c r="C14" i="19"/>
  <c r="D14" i="19"/>
  <c r="I14" i="19"/>
  <c r="J14" i="19"/>
  <c r="L14" i="19"/>
  <c r="M14" i="19"/>
  <c r="AD14" i="19"/>
  <c r="AE14" i="19"/>
  <c r="AA14" i="19"/>
  <c r="AB14" i="19"/>
  <c r="O14" i="19"/>
  <c r="P14" i="19"/>
  <c r="R14" i="19"/>
  <c r="S14" i="19"/>
  <c r="X14" i="19"/>
  <c r="Y14" i="19"/>
  <c r="AO11" i="7" l="1"/>
  <c r="AK11" i="7"/>
  <c r="AG11" i="7"/>
  <c r="AC11" i="7"/>
  <c r="Y11" i="7"/>
  <c r="U11" i="7"/>
  <c r="Q11" i="7"/>
  <c r="M11" i="7"/>
  <c r="I11" i="7"/>
  <c r="E11" i="7"/>
  <c r="F13" i="19" l="1"/>
  <c r="G13" i="19"/>
  <c r="U13" i="19"/>
  <c r="V13" i="19"/>
  <c r="C13" i="19"/>
  <c r="D13" i="19"/>
  <c r="I13" i="19"/>
  <c r="J13" i="19"/>
  <c r="L13" i="19"/>
  <c r="M13" i="19"/>
  <c r="AD13" i="19"/>
  <c r="AE13" i="19"/>
  <c r="AA13" i="19"/>
  <c r="AB13" i="19"/>
  <c r="O13" i="19"/>
  <c r="P13" i="19"/>
  <c r="R13" i="19"/>
  <c r="S13" i="19"/>
  <c r="X13" i="19"/>
  <c r="Y13" i="19"/>
  <c r="F12" i="19" l="1"/>
  <c r="G12" i="19"/>
  <c r="U12" i="19"/>
  <c r="V12" i="19"/>
  <c r="C12" i="19"/>
  <c r="D12" i="19"/>
  <c r="I12" i="19"/>
  <c r="J12" i="19"/>
  <c r="L12" i="19"/>
  <c r="M12" i="19"/>
  <c r="AD12" i="19"/>
  <c r="AE12" i="19"/>
  <c r="AA12" i="19"/>
  <c r="AB12" i="19"/>
  <c r="O12" i="19"/>
  <c r="P12" i="19"/>
  <c r="R12" i="19"/>
  <c r="S12" i="19"/>
  <c r="X12" i="19"/>
  <c r="Y12" i="19"/>
  <c r="F11" i="19" l="1"/>
  <c r="G11" i="19"/>
  <c r="U11" i="19"/>
  <c r="V11" i="19"/>
  <c r="C11" i="19"/>
  <c r="D11" i="19"/>
  <c r="I11" i="19"/>
  <c r="J11" i="19"/>
  <c r="L11" i="19"/>
  <c r="M11" i="19"/>
  <c r="AD11" i="19"/>
  <c r="AE11" i="19"/>
  <c r="AA11" i="19"/>
  <c r="AB11" i="19"/>
  <c r="O11" i="19"/>
  <c r="P11" i="19"/>
  <c r="R11" i="19"/>
  <c r="S11" i="19"/>
  <c r="X11" i="19"/>
  <c r="Y11" i="19"/>
  <c r="AO10" i="7"/>
  <c r="AK10" i="7"/>
  <c r="AG10" i="7"/>
  <c r="AC10" i="7"/>
  <c r="Y10" i="7"/>
  <c r="U10" i="7"/>
  <c r="Q10" i="7"/>
  <c r="M10" i="7"/>
  <c r="I10" i="7"/>
  <c r="E10" i="7"/>
  <c r="AO9" i="7" l="1"/>
  <c r="AK9" i="7"/>
  <c r="AG9" i="7"/>
  <c r="AC9" i="7"/>
  <c r="Y9" i="7"/>
  <c r="U9" i="7"/>
  <c r="Q9" i="7"/>
  <c r="M9" i="7"/>
  <c r="I9" i="7"/>
  <c r="E9" i="7"/>
  <c r="AO8" i="7" l="1"/>
  <c r="AK8" i="7"/>
  <c r="AG8" i="7"/>
  <c r="AC8" i="7"/>
  <c r="Y8" i="7"/>
  <c r="U8" i="7"/>
  <c r="Q8" i="7"/>
  <c r="M8" i="7"/>
  <c r="I8" i="7"/>
  <c r="E8" i="7"/>
  <c r="F10" i="19" l="1"/>
  <c r="G10" i="19"/>
  <c r="U10" i="19"/>
  <c r="V10" i="19"/>
  <c r="C10" i="19"/>
  <c r="D10" i="19"/>
  <c r="I10" i="19"/>
  <c r="J10" i="19"/>
  <c r="L10" i="19"/>
  <c r="M10" i="19"/>
  <c r="AD10" i="19"/>
  <c r="AE10" i="19"/>
  <c r="AA10" i="19"/>
  <c r="AB10" i="19"/>
  <c r="O10" i="19"/>
  <c r="P10" i="19"/>
  <c r="R10" i="19"/>
  <c r="S10" i="19"/>
  <c r="X10" i="19"/>
  <c r="Y10" i="19"/>
  <c r="F9" i="19"/>
  <c r="G9" i="19"/>
  <c r="U9" i="19"/>
  <c r="V9" i="19"/>
  <c r="C9" i="19"/>
  <c r="D9" i="19"/>
  <c r="I9" i="19"/>
  <c r="J9" i="19"/>
  <c r="L9" i="19"/>
  <c r="M9" i="19"/>
  <c r="AD9" i="19"/>
  <c r="AE9" i="19"/>
  <c r="AA9" i="19"/>
  <c r="AB9" i="19"/>
  <c r="O9" i="19"/>
  <c r="P9" i="19"/>
  <c r="R9" i="19"/>
  <c r="S9" i="19"/>
  <c r="X9" i="19"/>
  <c r="Y9" i="19"/>
  <c r="AO7" i="7" l="1"/>
  <c r="AK7" i="7"/>
  <c r="AG7" i="7"/>
  <c r="AC7" i="7"/>
  <c r="Y7" i="7"/>
  <c r="U7" i="7"/>
  <c r="Q7" i="7"/>
  <c r="M7" i="7"/>
  <c r="I7" i="7"/>
  <c r="E7" i="7"/>
  <c r="F8" i="19"/>
  <c r="G8" i="19"/>
  <c r="U8" i="19"/>
  <c r="V8" i="19"/>
  <c r="C8" i="19"/>
  <c r="D8" i="19"/>
  <c r="I8" i="19"/>
  <c r="J8" i="19"/>
  <c r="L8" i="19"/>
  <c r="M8" i="19"/>
  <c r="AD8" i="19"/>
  <c r="AE8" i="19"/>
  <c r="AA8" i="19"/>
  <c r="AB8" i="19"/>
  <c r="O8" i="19"/>
  <c r="P8" i="19"/>
  <c r="R8" i="19"/>
  <c r="S8" i="19"/>
  <c r="X8" i="19"/>
  <c r="Y8" i="19"/>
  <c r="AO6" i="7" l="1"/>
  <c r="AK6" i="7"/>
  <c r="AG6" i="7"/>
  <c r="AC6" i="7"/>
  <c r="Y6" i="7"/>
  <c r="U6" i="7"/>
  <c r="Q6" i="7"/>
  <c r="M6" i="7"/>
  <c r="I6" i="7"/>
  <c r="E6" i="7"/>
  <c r="F7" i="19" l="1"/>
  <c r="G7" i="19"/>
  <c r="U7" i="19"/>
  <c r="V7" i="19"/>
  <c r="C7" i="19"/>
  <c r="D7" i="19"/>
  <c r="I7" i="19"/>
  <c r="J7" i="19"/>
  <c r="L7" i="19"/>
  <c r="M7" i="19"/>
  <c r="AD7" i="19"/>
  <c r="AE7" i="19"/>
  <c r="AA7" i="19"/>
  <c r="AB7" i="19"/>
  <c r="O7" i="19"/>
  <c r="P7" i="19"/>
  <c r="R7" i="19"/>
  <c r="S7" i="19"/>
  <c r="X7" i="19"/>
  <c r="Y7" i="19"/>
  <c r="AO5" i="7" l="1"/>
  <c r="AK5" i="7"/>
  <c r="AG5" i="7"/>
  <c r="AC5" i="7"/>
  <c r="Y5" i="7"/>
  <c r="U5" i="7"/>
  <c r="Q5" i="7"/>
  <c r="M5" i="7"/>
  <c r="I5" i="7"/>
  <c r="E5" i="7"/>
  <c r="AD6" i="19" l="1"/>
  <c r="AE6" i="19"/>
  <c r="AA6" i="19"/>
  <c r="AB6" i="19"/>
  <c r="X6" i="19"/>
  <c r="Y6" i="19"/>
  <c r="U6" i="19"/>
  <c r="V6" i="19"/>
  <c r="R6" i="19"/>
  <c r="S6" i="19"/>
  <c r="O6" i="19"/>
  <c r="P6" i="19"/>
  <c r="L6" i="19"/>
  <c r="M6" i="19"/>
  <c r="I6" i="19"/>
  <c r="J6" i="19"/>
  <c r="F6" i="19"/>
  <c r="G6" i="19"/>
  <c r="C6" i="19"/>
  <c r="D6" i="19"/>
  <c r="AO4" i="7" l="1"/>
  <c r="AK4" i="7"/>
  <c r="AG4" i="7"/>
  <c r="AC4" i="7"/>
  <c r="Y4" i="7"/>
  <c r="U4" i="7"/>
  <c r="Q4" i="7"/>
  <c r="M4" i="7"/>
  <c r="I4" i="7"/>
  <c r="E4" i="7"/>
  <c r="B79" i="19" l="1"/>
  <c r="AD5" i="19"/>
  <c r="AE5" i="19"/>
  <c r="AA5" i="19"/>
  <c r="AB5" i="19"/>
  <c r="X5" i="19"/>
  <c r="Y5" i="19"/>
  <c r="U5" i="19"/>
  <c r="V5" i="19"/>
  <c r="R5" i="19"/>
  <c r="S5" i="19"/>
  <c r="O5" i="19"/>
  <c r="P5" i="19"/>
  <c r="L5" i="19"/>
  <c r="M5" i="19"/>
  <c r="I5" i="19"/>
  <c r="J5" i="19"/>
  <c r="F5" i="19"/>
  <c r="G5" i="19"/>
  <c r="C5" i="19"/>
  <c r="D5" i="19"/>
  <c r="AD4" i="19" l="1"/>
  <c r="AA4" i="19"/>
  <c r="X4" i="19"/>
  <c r="U4" i="19"/>
  <c r="R4" i="19"/>
  <c r="O4" i="19"/>
  <c r="L4" i="19"/>
  <c r="I4" i="19"/>
  <c r="F4" i="19"/>
  <c r="C4" i="19"/>
  <c r="AD3" i="19" l="1"/>
  <c r="AA3" i="19"/>
  <c r="X3" i="19"/>
  <c r="U3" i="19"/>
  <c r="R3" i="19"/>
  <c r="O3" i="19"/>
  <c r="L3" i="19"/>
  <c r="I3" i="19"/>
  <c r="F3" i="19"/>
  <c r="C3" i="19"/>
  <c r="J11" i="20" l="1"/>
  <c r="J10" i="20"/>
  <c r="J9" i="20"/>
  <c r="J8" i="20"/>
  <c r="J7" i="20"/>
  <c r="J6" i="20"/>
  <c r="J5" i="20"/>
  <c r="J4" i="20"/>
  <c r="J3" i="20"/>
  <c r="J2" i="20"/>
  <c r="AE4" i="19" l="1"/>
  <c r="AC79" i="19" s="1"/>
  <c r="AE3" i="19"/>
  <c r="AB4" i="19"/>
  <c r="Z79" i="19" s="1"/>
  <c r="AB3" i="19"/>
  <c r="Y4" i="19"/>
  <c r="W79" i="19" s="1"/>
  <c r="Y3" i="19"/>
  <c r="V4" i="19"/>
  <c r="T79" i="19" s="1"/>
  <c r="V3" i="19"/>
  <c r="S4" i="19"/>
  <c r="Q79" i="19" s="1"/>
  <c r="S3" i="19"/>
  <c r="P4" i="19"/>
  <c r="N79" i="19" s="1"/>
  <c r="P3" i="19"/>
  <c r="M4" i="19"/>
  <c r="K79" i="19" s="1"/>
  <c r="M3" i="19"/>
  <c r="J4" i="19"/>
  <c r="H79" i="19" s="1"/>
  <c r="J3" i="19"/>
  <c r="G4" i="19"/>
  <c r="E79" i="19" s="1"/>
  <c r="G3" i="19"/>
  <c r="D3" i="19"/>
  <c r="D4" i="19"/>
  <c r="AU43" i="23" l="1"/>
  <c r="AU44" i="23"/>
  <c r="AU45" i="23"/>
  <c r="AU46" i="23"/>
  <c r="AU47" i="23"/>
  <c r="AU48" i="23"/>
  <c r="AU49" i="23"/>
  <c r="AU50" i="23"/>
  <c r="AU51" i="23"/>
  <c r="AU52" i="23"/>
  <c r="AU53" i="23"/>
  <c r="AU54" i="23"/>
  <c r="AU55" i="23"/>
  <c r="AU56" i="23"/>
  <c r="AU57" i="23"/>
  <c r="AU58" i="23"/>
  <c r="AU59" i="23"/>
  <c r="AU60" i="23"/>
  <c r="AU61" i="23"/>
  <c r="AU62" i="23"/>
  <c r="AU63" i="23"/>
  <c r="AU64" i="23"/>
  <c r="AU65" i="23"/>
  <c r="AU66" i="23"/>
  <c r="AU67" i="23"/>
  <c r="AU68" i="23"/>
  <c r="AU69" i="23"/>
  <c r="AU70" i="23"/>
  <c r="AU71" i="23"/>
  <c r="AU72" i="23"/>
  <c r="AU73" i="23"/>
  <c r="AU74" i="23"/>
  <c r="AU75" i="23"/>
  <c r="AU76" i="23"/>
  <c r="AU42" i="23"/>
  <c r="AP43" i="23"/>
  <c r="AP44" i="23"/>
  <c r="AP45" i="23"/>
  <c r="AP46" i="23"/>
  <c r="AP47" i="23"/>
  <c r="AP48" i="23"/>
  <c r="AP49" i="23"/>
  <c r="AP50" i="23"/>
  <c r="AP51" i="23"/>
  <c r="AP52" i="23"/>
  <c r="AP53" i="23"/>
  <c r="AP54" i="23"/>
  <c r="AP55" i="23"/>
  <c r="AP56" i="23"/>
  <c r="AP57" i="23"/>
  <c r="AP58" i="23"/>
  <c r="AP59" i="23"/>
  <c r="AP60" i="23"/>
  <c r="AP61" i="23"/>
  <c r="AP62" i="23"/>
  <c r="AP63" i="23"/>
  <c r="AP64" i="23"/>
  <c r="AP65" i="23"/>
  <c r="AP66" i="23"/>
  <c r="AP67" i="23"/>
  <c r="AP68" i="23"/>
  <c r="AP69" i="23"/>
  <c r="AP70" i="23"/>
  <c r="AP71" i="23"/>
  <c r="AP72" i="23"/>
  <c r="AP73" i="23"/>
  <c r="AP74" i="23"/>
  <c r="AP75" i="23"/>
  <c r="AP76" i="23"/>
  <c r="AP42" i="23"/>
  <c r="AK43" i="23"/>
  <c r="AK44" i="23"/>
  <c r="AK45" i="23"/>
  <c r="AK46" i="23"/>
  <c r="AK47" i="23"/>
  <c r="AK48" i="23"/>
  <c r="AK49" i="23"/>
  <c r="AK50" i="23"/>
  <c r="AK51" i="23"/>
  <c r="AK52" i="23"/>
  <c r="AK53" i="23"/>
  <c r="AK54" i="23"/>
  <c r="AK55" i="23"/>
  <c r="AK56" i="23"/>
  <c r="AK57" i="23"/>
  <c r="AK58" i="23"/>
  <c r="AK59" i="23"/>
  <c r="AK60" i="23"/>
  <c r="AK61" i="23"/>
  <c r="AK62" i="23"/>
  <c r="AK63" i="23"/>
  <c r="AK64" i="23"/>
  <c r="AK65" i="23"/>
  <c r="AK66" i="23"/>
  <c r="AK67" i="23"/>
  <c r="AK68" i="23"/>
  <c r="AK69" i="23"/>
  <c r="AK70" i="23"/>
  <c r="AK71" i="23"/>
  <c r="AK72" i="23"/>
  <c r="AK73" i="23"/>
  <c r="AK74" i="23"/>
  <c r="AK75" i="23"/>
  <c r="AK76" i="23"/>
  <c r="AK42" i="23"/>
  <c r="AF43" i="23"/>
  <c r="AF44" i="23"/>
  <c r="AF45" i="23"/>
  <c r="AF46" i="23"/>
  <c r="AF47" i="23"/>
  <c r="AF48" i="23"/>
  <c r="AF49" i="23"/>
  <c r="AF50" i="23"/>
  <c r="AF51" i="23"/>
  <c r="AF52" i="23"/>
  <c r="AF53" i="23"/>
  <c r="AF54" i="23"/>
  <c r="AF55" i="23"/>
  <c r="AF56" i="23"/>
  <c r="AF57" i="23"/>
  <c r="AF58" i="23"/>
  <c r="AF59" i="23"/>
  <c r="AF60" i="23"/>
  <c r="AF61" i="23"/>
  <c r="AF62" i="23"/>
  <c r="AF63" i="23"/>
  <c r="AF64" i="23"/>
  <c r="AF65" i="23"/>
  <c r="AF66" i="23"/>
  <c r="AF67" i="23"/>
  <c r="AF68" i="23"/>
  <c r="AF69" i="23"/>
  <c r="AF70" i="23"/>
  <c r="AF71" i="23"/>
  <c r="AF72" i="23"/>
  <c r="AF73" i="23"/>
  <c r="AF74" i="23"/>
  <c r="AF75" i="23"/>
  <c r="AF76" i="23"/>
  <c r="AF42" i="23"/>
  <c r="AA43" i="23"/>
  <c r="AA44" i="23"/>
  <c r="AA45" i="23"/>
  <c r="AA46" i="23"/>
  <c r="AA47" i="23"/>
  <c r="AA48" i="23"/>
  <c r="AA49" i="23"/>
  <c r="AA50" i="23"/>
  <c r="AA51" i="23"/>
  <c r="AA52" i="23"/>
  <c r="AA53" i="23"/>
  <c r="AA54" i="23"/>
  <c r="AA55" i="23"/>
  <c r="AA56" i="23"/>
  <c r="AA57" i="23"/>
  <c r="AA58" i="23"/>
  <c r="AA59" i="23"/>
  <c r="AA60" i="23"/>
  <c r="AA61" i="23"/>
  <c r="AA62" i="23"/>
  <c r="AA63" i="23"/>
  <c r="AA64" i="23"/>
  <c r="AA65" i="23"/>
  <c r="AA66" i="23"/>
  <c r="AA67" i="23"/>
  <c r="AA68" i="23"/>
  <c r="AA69" i="23"/>
  <c r="AA70" i="23"/>
  <c r="AA71" i="23"/>
  <c r="AA72" i="23"/>
  <c r="AA73" i="23"/>
  <c r="AA74" i="23"/>
  <c r="AA75" i="23"/>
  <c r="AA76" i="23"/>
  <c r="AA42" i="23"/>
  <c r="V43" i="23"/>
  <c r="V44" i="23"/>
  <c r="V45" i="23"/>
  <c r="V46" i="23"/>
  <c r="V47" i="23"/>
  <c r="V48" i="23"/>
  <c r="V49" i="23"/>
  <c r="V50" i="23"/>
  <c r="V51" i="23"/>
  <c r="V52" i="23"/>
  <c r="V53" i="23"/>
  <c r="V54" i="23"/>
  <c r="V55" i="23"/>
  <c r="V56" i="23"/>
  <c r="V57" i="23"/>
  <c r="V58" i="23"/>
  <c r="V59" i="23"/>
  <c r="V60" i="23"/>
  <c r="V61" i="23"/>
  <c r="V62" i="23"/>
  <c r="V63" i="23"/>
  <c r="V64" i="23"/>
  <c r="V65" i="23"/>
  <c r="V66" i="23"/>
  <c r="V67" i="23"/>
  <c r="V68" i="23"/>
  <c r="V69" i="23"/>
  <c r="V70" i="23"/>
  <c r="V71" i="23"/>
  <c r="V72" i="23"/>
  <c r="V73" i="23"/>
  <c r="V74" i="23"/>
  <c r="V75" i="23"/>
  <c r="V76" i="23"/>
  <c r="V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42" i="23"/>
  <c r="L43" i="23"/>
  <c r="L44" i="23"/>
  <c r="L45" i="23"/>
  <c r="L46" i="23"/>
  <c r="L47" i="23"/>
  <c r="L48" i="23"/>
  <c r="L49" i="23"/>
  <c r="L50" i="23"/>
  <c r="L51" i="23"/>
  <c r="L52" i="23"/>
  <c r="L53" i="23"/>
  <c r="L54" i="23"/>
  <c r="L55" i="23"/>
  <c r="L56" i="23"/>
  <c r="L57" i="23"/>
  <c r="L58" i="23"/>
  <c r="L59" i="23"/>
  <c r="L60" i="23"/>
  <c r="L61" i="23"/>
  <c r="L62" i="23"/>
  <c r="L63" i="23"/>
  <c r="L64" i="23"/>
  <c r="L65" i="23"/>
  <c r="L66" i="23"/>
  <c r="L67" i="23"/>
  <c r="L68" i="23"/>
  <c r="L69" i="23"/>
  <c r="L70" i="23"/>
  <c r="L71" i="23"/>
  <c r="L72" i="23"/>
  <c r="L73" i="23"/>
  <c r="L74" i="23"/>
  <c r="L75" i="23"/>
  <c r="L76" i="23"/>
  <c r="L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42" i="23"/>
  <c r="AX42" i="23" l="1"/>
  <c r="AX43" i="23" s="1"/>
  <c r="AX44" i="23" s="1"/>
  <c r="AX45" i="23" s="1"/>
  <c r="AX46" i="23" s="1"/>
  <c r="AX47" i="23" s="1"/>
  <c r="AX48" i="23" s="1"/>
  <c r="AX49" i="23" s="1"/>
  <c r="AX50" i="23" s="1"/>
  <c r="AX51" i="23" s="1"/>
  <c r="AX52" i="23" s="1"/>
  <c r="AX53" i="23" s="1"/>
  <c r="AX54" i="23" s="1"/>
  <c r="AX55" i="23" s="1"/>
  <c r="AX56" i="23" s="1"/>
  <c r="AX57" i="23" s="1"/>
  <c r="AX58" i="23" s="1"/>
  <c r="AX59" i="23" s="1"/>
  <c r="AX60" i="23" s="1"/>
  <c r="AX61" i="23" s="1"/>
  <c r="AX62" i="23" s="1"/>
  <c r="AX63" i="23" s="1"/>
  <c r="AX64" i="23" s="1"/>
  <c r="AX65" i="23" s="1"/>
  <c r="AX66" i="23" s="1"/>
  <c r="AX67" i="23" s="1"/>
  <c r="AX68" i="23" s="1"/>
  <c r="AX69" i="23" s="1"/>
  <c r="AX70" i="23" s="1"/>
  <c r="AX71" i="23" s="1"/>
  <c r="AX72" i="23" s="1"/>
  <c r="AX73" i="23" s="1"/>
  <c r="AX74" i="23" s="1"/>
  <c r="AX75" i="23" s="1"/>
  <c r="AX76" i="23" s="1"/>
  <c r="AW42" i="23"/>
  <c r="AS42" i="23"/>
  <c r="AS43" i="23" s="1"/>
  <c r="AS44" i="23" s="1"/>
  <c r="AS45" i="23" s="1"/>
  <c r="AS46" i="23" s="1"/>
  <c r="AS47" i="23" s="1"/>
  <c r="AS48" i="23" s="1"/>
  <c r="AS49" i="23" s="1"/>
  <c r="AS50" i="23" s="1"/>
  <c r="AS51" i="23" s="1"/>
  <c r="AS52" i="23" s="1"/>
  <c r="AS53" i="23" s="1"/>
  <c r="AS54" i="23" s="1"/>
  <c r="AS55" i="23" s="1"/>
  <c r="AS56" i="23" s="1"/>
  <c r="AS57" i="23" s="1"/>
  <c r="AS58" i="23" s="1"/>
  <c r="AS59" i="23" s="1"/>
  <c r="AS60" i="23" s="1"/>
  <c r="AS61" i="23" s="1"/>
  <c r="AS62" i="23" s="1"/>
  <c r="AS63" i="23" s="1"/>
  <c r="AS64" i="23" s="1"/>
  <c r="AS65" i="23" s="1"/>
  <c r="AS66" i="23" s="1"/>
  <c r="AS67" i="23" s="1"/>
  <c r="AS68" i="23" s="1"/>
  <c r="AS69" i="23" s="1"/>
  <c r="AS70" i="23" s="1"/>
  <c r="AS71" i="23" s="1"/>
  <c r="AS72" i="23" s="1"/>
  <c r="AS73" i="23" s="1"/>
  <c r="AS74" i="23" s="1"/>
  <c r="AS75" i="23" s="1"/>
  <c r="AS76" i="23" s="1"/>
  <c r="AR42" i="23"/>
  <c r="AR43" i="23" s="1"/>
  <c r="AR44" i="23" s="1"/>
  <c r="AN42" i="23"/>
  <c r="AN43" i="23" s="1"/>
  <c r="AN44" i="23" s="1"/>
  <c r="AN45" i="23" s="1"/>
  <c r="AN46" i="23" s="1"/>
  <c r="AN47" i="23" s="1"/>
  <c r="AN48" i="23" s="1"/>
  <c r="AN49" i="23" s="1"/>
  <c r="AN50" i="23" s="1"/>
  <c r="AN51" i="23" s="1"/>
  <c r="AN52" i="23" s="1"/>
  <c r="AN53" i="23" s="1"/>
  <c r="AN54" i="23" s="1"/>
  <c r="AN55" i="23" s="1"/>
  <c r="AN56" i="23" s="1"/>
  <c r="AN57" i="23" s="1"/>
  <c r="AN58" i="23" s="1"/>
  <c r="AN59" i="23" s="1"/>
  <c r="AN60" i="23" s="1"/>
  <c r="AN61" i="23" s="1"/>
  <c r="AN62" i="23" s="1"/>
  <c r="AN63" i="23" s="1"/>
  <c r="AN64" i="23" s="1"/>
  <c r="AN65" i="23" s="1"/>
  <c r="AN66" i="23" s="1"/>
  <c r="AN67" i="23" s="1"/>
  <c r="AN68" i="23" s="1"/>
  <c r="AN69" i="23" s="1"/>
  <c r="AN70" i="23" s="1"/>
  <c r="AN71" i="23" s="1"/>
  <c r="AN72" i="23" s="1"/>
  <c r="AN73" i="23" s="1"/>
  <c r="AN74" i="23" s="1"/>
  <c r="AN75" i="23" s="1"/>
  <c r="AN76" i="23" s="1"/>
  <c r="AM42" i="23"/>
  <c r="AM43" i="23" s="1"/>
  <c r="AI42" i="23"/>
  <c r="AI43" i="23" s="1"/>
  <c r="AI44" i="23" s="1"/>
  <c r="AI45" i="23" s="1"/>
  <c r="AI46" i="23" s="1"/>
  <c r="AI47" i="23" s="1"/>
  <c r="AI48" i="23" s="1"/>
  <c r="AI49" i="23" s="1"/>
  <c r="AI50" i="23" s="1"/>
  <c r="AI51" i="23" s="1"/>
  <c r="AI52" i="23" s="1"/>
  <c r="AI53" i="23" s="1"/>
  <c r="AI54" i="23" s="1"/>
  <c r="AI55" i="23" s="1"/>
  <c r="AI56" i="23" s="1"/>
  <c r="AI57" i="23" s="1"/>
  <c r="AI58" i="23" s="1"/>
  <c r="AI59" i="23" s="1"/>
  <c r="AI60" i="23" s="1"/>
  <c r="AI61" i="23" s="1"/>
  <c r="AI62" i="23" s="1"/>
  <c r="AI63" i="23" s="1"/>
  <c r="AI64" i="23" s="1"/>
  <c r="AI65" i="23" s="1"/>
  <c r="AI66" i="23" s="1"/>
  <c r="AI67" i="23" s="1"/>
  <c r="AI68" i="23" s="1"/>
  <c r="AI69" i="23" s="1"/>
  <c r="AI70" i="23" s="1"/>
  <c r="AI71" i="23" s="1"/>
  <c r="AI72" i="23" s="1"/>
  <c r="AI73" i="23" s="1"/>
  <c r="AI74" i="23" s="1"/>
  <c r="AI75" i="23" s="1"/>
  <c r="AI76" i="23" s="1"/>
  <c r="AH42" i="23"/>
  <c r="AD42" i="23"/>
  <c r="AD43" i="23" s="1"/>
  <c r="AD44" i="23" s="1"/>
  <c r="AD45" i="23" s="1"/>
  <c r="AD46" i="23" s="1"/>
  <c r="AD47" i="23" s="1"/>
  <c r="AD48" i="23" s="1"/>
  <c r="AD49" i="23" s="1"/>
  <c r="AD50" i="23" s="1"/>
  <c r="AD51" i="23" s="1"/>
  <c r="AD52" i="23" s="1"/>
  <c r="AD53" i="23" s="1"/>
  <c r="AD54" i="23" s="1"/>
  <c r="AD55" i="23" s="1"/>
  <c r="AD56" i="23" s="1"/>
  <c r="AD57" i="23" s="1"/>
  <c r="AD58" i="23" s="1"/>
  <c r="AD59" i="23" s="1"/>
  <c r="AD60" i="23" s="1"/>
  <c r="AD61" i="23" s="1"/>
  <c r="AD62" i="23" s="1"/>
  <c r="AD63" i="23" s="1"/>
  <c r="AD64" i="23" s="1"/>
  <c r="AD65" i="23" s="1"/>
  <c r="AD66" i="23" s="1"/>
  <c r="AD67" i="23" s="1"/>
  <c r="AD68" i="23" s="1"/>
  <c r="AD69" i="23" s="1"/>
  <c r="AD70" i="23" s="1"/>
  <c r="AD71" i="23" s="1"/>
  <c r="AD72" i="23" s="1"/>
  <c r="AD73" i="23" s="1"/>
  <c r="AD74" i="23" s="1"/>
  <c r="AD75" i="23" s="1"/>
  <c r="AD76" i="23" s="1"/>
  <c r="AC42" i="23"/>
  <c r="Y42" i="23"/>
  <c r="Y43" i="23" s="1"/>
  <c r="Y44" i="23" s="1"/>
  <c r="Y45" i="23" s="1"/>
  <c r="Y46" i="23" s="1"/>
  <c r="Y47" i="23" s="1"/>
  <c r="Y48" i="23" s="1"/>
  <c r="Y49" i="23" s="1"/>
  <c r="Y50" i="23" s="1"/>
  <c r="Y51" i="23" s="1"/>
  <c r="Y52" i="23" s="1"/>
  <c r="Y53" i="23" s="1"/>
  <c r="Y54" i="23" s="1"/>
  <c r="Y55" i="23" s="1"/>
  <c r="Y56" i="23" s="1"/>
  <c r="Y57" i="23" s="1"/>
  <c r="Y58" i="23" s="1"/>
  <c r="Y59" i="23" s="1"/>
  <c r="Y60" i="23" s="1"/>
  <c r="Y61" i="23" s="1"/>
  <c r="Y62" i="23" s="1"/>
  <c r="Y63" i="23" s="1"/>
  <c r="Y64" i="23" s="1"/>
  <c r="Y65" i="23" s="1"/>
  <c r="Y66" i="23" s="1"/>
  <c r="Y67" i="23" s="1"/>
  <c r="Y68" i="23" s="1"/>
  <c r="Y69" i="23" s="1"/>
  <c r="Y70" i="23" s="1"/>
  <c r="Y71" i="23" s="1"/>
  <c r="Y72" i="23" s="1"/>
  <c r="Y73" i="23" s="1"/>
  <c r="Y74" i="23" s="1"/>
  <c r="Y75" i="23" s="1"/>
  <c r="Y76" i="23" s="1"/>
  <c r="X42" i="23"/>
  <c r="X43" i="23" s="1"/>
  <c r="T42" i="23"/>
  <c r="T43" i="23" s="1"/>
  <c r="T44" i="23" s="1"/>
  <c r="T45" i="23" s="1"/>
  <c r="T46" i="23" s="1"/>
  <c r="T47" i="23" s="1"/>
  <c r="T48" i="23" s="1"/>
  <c r="T49" i="23" s="1"/>
  <c r="T50" i="23" s="1"/>
  <c r="T51" i="23" s="1"/>
  <c r="T52" i="23" s="1"/>
  <c r="T53" i="23" s="1"/>
  <c r="T54" i="23" s="1"/>
  <c r="T55" i="23" s="1"/>
  <c r="T56" i="23" s="1"/>
  <c r="T57" i="23" s="1"/>
  <c r="T58" i="23" s="1"/>
  <c r="T59" i="23" s="1"/>
  <c r="T60" i="23" s="1"/>
  <c r="T61" i="23" s="1"/>
  <c r="T62" i="23" s="1"/>
  <c r="T63" i="23" s="1"/>
  <c r="T64" i="23" s="1"/>
  <c r="T65" i="23" s="1"/>
  <c r="T66" i="23" s="1"/>
  <c r="T67" i="23" s="1"/>
  <c r="T68" i="23" s="1"/>
  <c r="T69" i="23" s="1"/>
  <c r="T70" i="23" s="1"/>
  <c r="T71" i="23" s="1"/>
  <c r="T72" i="23" s="1"/>
  <c r="T73" i="23" s="1"/>
  <c r="T74" i="23" s="1"/>
  <c r="T75" i="23" s="1"/>
  <c r="T76" i="23" s="1"/>
  <c r="S42" i="23"/>
  <c r="S43" i="23" s="1"/>
  <c r="O42" i="23"/>
  <c r="O43" i="23" s="1"/>
  <c r="O44" i="23" s="1"/>
  <c r="O45" i="23" s="1"/>
  <c r="O46" i="23" s="1"/>
  <c r="O47" i="23" s="1"/>
  <c r="O48" i="23" s="1"/>
  <c r="O49" i="23" s="1"/>
  <c r="O50" i="23" s="1"/>
  <c r="O51" i="23" s="1"/>
  <c r="O52" i="23" s="1"/>
  <c r="O53" i="23" s="1"/>
  <c r="O54" i="23" s="1"/>
  <c r="O55" i="23" s="1"/>
  <c r="O56" i="23" s="1"/>
  <c r="O57" i="23" s="1"/>
  <c r="O58" i="23" s="1"/>
  <c r="O59" i="23" s="1"/>
  <c r="O60" i="23" s="1"/>
  <c r="O61" i="23" s="1"/>
  <c r="O62" i="23" s="1"/>
  <c r="O63" i="23" s="1"/>
  <c r="O64" i="23" s="1"/>
  <c r="O65" i="23" s="1"/>
  <c r="O66" i="23" s="1"/>
  <c r="O67" i="23" s="1"/>
  <c r="O68" i="23" s="1"/>
  <c r="O69" i="23" s="1"/>
  <c r="O70" i="23" s="1"/>
  <c r="O71" i="23" s="1"/>
  <c r="O72" i="23" s="1"/>
  <c r="O73" i="23" s="1"/>
  <c r="O74" i="23" s="1"/>
  <c r="O75" i="23" s="1"/>
  <c r="O76" i="23" s="1"/>
  <c r="N42" i="23"/>
  <c r="J42" i="23"/>
  <c r="J43" i="23" s="1"/>
  <c r="J44" i="23" s="1"/>
  <c r="J45" i="23" s="1"/>
  <c r="J46" i="23" s="1"/>
  <c r="J47" i="23" s="1"/>
  <c r="J48" i="23" s="1"/>
  <c r="J49" i="23" s="1"/>
  <c r="J50" i="23" s="1"/>
  <c r="J51" i="23" s="1"/>
  <c r="J52" i="23" s="1"/>
  <c r="J53" i="23" s="1"/>
  <c r="J54" i="23" s="1"/>
  <c r="J55" i="23" s="1"/>
  <c r="J56" i="23" s="1"/>
  <c r="J57" i="23" s="1"/>
  <c r="J58" i="23" s="1"/>
  <c r="J59" i="23" s="1"/>
  <c r="J60" i="23" s="1"/>
  <c r="J61" i="23" s="1"/>
  <c r="J62" i="23" s="1"/>
  <c r="J63" i="23" s="1"/>
  <c r="J64" i="23" s="1"/>
  <c r="J65" i="23" s="1"/>
  <c r="J66" i="23" s="1"/>
  <c r="J67" i="23" s="1"/>
  <c r="J68" i="23" s="1"/>
  <c r="J69" i="23" s="1"/>
  <c r="J70" i="23" s="1"/>
  <c r="J71" i="23" s="1"/>
  <c r="J72" i="23" s="1"/>
  <c r="J73" i="23" s="1"/>
  <c r="J74" i="23" s="1"/>
  <c r="J75" i="23" s="1"/>
  <c r="J76" i="23" s="1"/>
  <c r="I42" i="23"/>
  <c r="E42" i="23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D42" i="23"/>
  <c r="AU4" i="23"/>
  <c r="AU5" i="23"/>
  <c r="AU6" i="23"/>
  <c r="AU7" i="23"/>
  <c r="AU8" i="23"/>
  <c r="AU9" i="23"/>
  <c r="AU10" i="23"/>
  <c r="AU11" i="23"/>
  <c r="AU12" i="23"/>
  <c r="AU13" i="23"/>
  <c r="AU14" i="23"/>
  <c r="AU15" i="23"/>
  <c r="AU16" i="23"/>
  <c r="AU17" i="23"/>
  <c r="AU18" i="23"/>
  <c r="AU19" i="23"/>
  <c r="AU20" i="23"/>
  <c r="AU21" i="23"/>
  <c r="AU22" i="23"/>
  <c r="AU23" i="23"/>
  <c r="AU24" i="23"/>
  <c r="AU25" i="23"/>
  <c r="AU26" i="23"/>
  <c r="AU27" i="23"/>
  <c r="AU28" i="23"/>
  <c r="AU29" i="23"/>
  <c r="AU30" i="23"/>
  <c r="AU31" i="23"/>
  <c r="AU32" i="23"/>
  <c r="AU33" i="23"/>
  <c r="AU34" i="23"/>
  <c r="AU35" i="23"/>
  <c r="AU36" i="23"/>
  <c r="AU37" i="23"/>
  <c r="AU38" i="23"/>
  <c r="AU3" i="23"/>
  <c r="AP4" i="23"/>
  <c r="AP5" i="23"/>
  <c r="AP6" i="23"/>
  <c r="AP7" i="23"/>
  <c r="AP8" i="23"/>
  <c r="AP9" i="23"/>
  <c r="AP10" i="23"/>
  <c r="AP11" i="23"/>
  <c r="AP12" i="23"/>
  <c r="AP13" i="23"/>
  <c r="AP14" i="23"/>
  <c r="AP15" i="23"/>
  <c r="AP16" i="23"/>
  <c r="AP17" i="23"/>
  <c r="AP18" i="23"/>
  <c r="AP19" i="23"/>
  <c r="AP20" i="23"/>
  <c r="AP21" i="23"/>
  <c r="AP22" i="23"/>
  <c r="AP23" i="23"/>
  <c r="AP24" i="23"/>
  <c r="AP25" i="23"/>
  <c r="AP26" i="23"/>
  <c r="AP27" i="23"/>
  <c r="AP28" i="23"/>
  <c r="AP29" i="23"/>
  <c r="AP30" i="23"/>
  <c r="AP31" i="23"/>
  <c r="AP32" i="23"/>
  <c r="AP33" i="23"/>
  <c r="AP34" i="23"/>
  <c r="AP35" i="23"/>
  <c r="AP36" i="23"/>
  <c r="AP37" i="23"/>
  <c r="AP38" i="23"/>
  <c r="AP3" i="23"/>
  <c r="AR3" i="23" s="1"/>
  <c r="AK4" i="23"/>
  <c r="AK5" i="23"/>
  <c r="AK6" i="23"/>
  <c r="AK7" i="23"/>
  <c r="AK8" i="23"/>
  <c r="AK9" i="23"/>
  <c r="AK10" i="23"/>
  <c r="AK11" i="23"/>
  <c r="AK12" i="23"/>
  <c r="AK13" i="23"/>
  <c r="AK14" i="23"/>
  <c r="AK15" i="23"/>
  <c r="AK16" i="23"/>
  <c r="AK17" i="23"/>
  <c r="AK18" i="23"/>
  <c r="AK19" i="23"/>
  <c r="AK20" i="23"/>
  <c r="AK21" i="23"/>
  <c r="AK22" i="23"/>
  <c r="AK23" i="23"/>
  <c r="AK24" i="23"/>
  <c r="AK25" i="23"/>
  <c r="AK26" i="23"/>
  <c r="AK27" i="23"/>
  <c r="AK28" i="23"/>
  <c r="AK29" i="23"/>
  <c r="AK30" i="23"/>
  <c r="AK31" i="23"/>
  <c r="AK32" i="23"/>
  <c r="AK33" i="23"/>
  <c r="AK34" i="23"/>
  <c r="AK35" i="23"/>
  <c r="AK36" i="23"/>
  <c r="AK37" i="23"/>
  <c r="AK38" i="23"/>
  <c r="AK3" i="23"/>
  <c r="AM3" i="23" s="1"/>
  <c r="AF4" i="23"/>
  <c r="AF5" i="23"/>
  <c r="AF6" i="23"/>
  <c r="AF7" i="23"/>
  <c r="AF8" i="23"/>
  <c r="AF9" i="23"/>
  <c r="AF10" i="23"/>
  <c r="AF11" i="23"/>
  <c r="AF12" i="23"/>
  <c r="AF13" i="23"/>
  <c r="AF14" i="23"/>
  <c r="AF15" i="23"/>
  <c r="AF16" i="23"/>
  <c r="AF17" i="23"/>
  <c r="AF18" i="23"/>
  <c r="AF19" i="23"/>
  <c r="AF20" i="23"/>
  <c r="AF21" i="23"/>
  <c r="AF22" i="23"/>
  <c r="AF23" i="23"/>
  <c r="AF24" i="23"/>
  <c r="AF25" i="23"/>
  <c r="AF26" i="23"/>
  <c r="AF27" i="23"/>
  <c r="AF28" i="23"/>
  <c r="AF29" i="23"/>
  <c r="AF30" i="23"/>
  <c r="AF31" i="23"/>
  <c r="AF32" i="23"/>
  <c r="AF33" i="23"/>
  <c r="AF34" i="23"/>
  <c r="AF35" i="23"/>
  <c r="AF36" i="23"/>
  <c r="AF37" i="23"/>
  <c r="AF38" i="23"/>
  <c r="AF3" i="23"/>
  <c r="AH3" i="23" s="1"/>
  <c r="AA4" i="23"/>
  <c r="AA5" i="23"/>
  <c r="AA6" i="23"/>
  <c r="AA7" i="23"/>
  <c r="AA8" i="23"/>
  <c r="AA9" i="23"/>
  <c r="AA10" i="23"/>
  <c r="AA11" i="23"/>
  <c r="AA12" i="23"/>
  <c r="AA13" i="23"/>
  <c r="AA14" i="23"/>
  <c r="AA15" i="23"/>
  <c r="AA16" i="23"/>
  <c r="AA17" i="23"/>
  <c r="AA18" i="23"/>
  <c r="AA19" i="23"/>
  <c r="AA20" i="23"/>
  <c r="AA21" i="23"/>
  <c r="AA22" i="23"/>
  <c r="AA23" i="23"/>
  <c r="AA24" i="23"/>
  <c r="AA25" i="23"/>
  <c r="AA26" i="23"/>
  <c r="AA27" i="23"/>
  <c r="AA28" i="23"/>
  <c r="AA29" i="23"/>
  <c r="AA30" i="23"/>
  <c r="AA31" i="23"/>
  <c r="AA32" i="23"/>
  <c r="AA33" i="23"/>
  <c r="AA34" i="23"/>
  <c r="AA35" i="23"/>
  <c r="AA36" i="23"/>
  <c r="AA37" i="23"/>
  <c r="AA38" i="23"/>
  <c r="AA3" i="23"/>
  <c r="AC3" i="23" s="1"/>
  <c r="AE3" i="23" s="1"/>
  <c r="V4" i="23"/>
  <c r="V5" i="23"/>
  <c r="V6" i="23"/>
  <c r="V7" i="23"/>
  <c r="V8" i="23"/>
  <c r="V9" i="23"/>
  <c r="V10" i="23"/>
  <c r="V11" i="23"/>
  <c r="V12" i="23"/>
  <c r="V13" i="23"/>
  <c r="V14" i="23"/>
  <c r="V15" i="23"/>
  <c r="V16" i="23"/>
  <c r="V17" i="23"/>
  <c r="V18" i="23"/>
  <c r="V19" i="23"/>
  <c r="V20" i="23"/>
  <c r="V21" i="23"/>
  <c r="V22" i="23"/>
  <c r="V23" i="23"/>
  <c r="V24" i="23"/>
  <c r="V25" i="23"/>
  <c r="V26" i="23"/>
  <c r="V27" i="23"/>
  <c r="V28" i="23"/>
  <c r="V29" i="23"/>
  <c r="V30" i="23"/>
  <c r="V31" i="23"/>
  <c r="V32" i="23"/>
  <c r="V33" i="23"/>
  <c r="V34" i="23"/>
  <c r="V35" i="23"/>
  <c r="V36" i="23"/>
  <c r="V37" i="23"/>
  <c r="V38" i="23"/>
  <c r="V3" i="23"/>
  <c r="X3" i="23" s="1"/>
  <c r="X4" i="23" s="1"/>
  <c r="Q4" i="23"/>
  <c r="Q5" i="23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" i="23"/>
  <c r="AD4" i="23"/>
  <c r="AD5" i="23" s="1"/>
  <c r="AD6" i="23" s="1"/>
  <c r="AD7" i="23" s="1"/>
  <c r="AD8" i="23" s="1"/>
  <c r="AD9" i="23" s="1"/>
  <c r="AD10" i="23" s="1"/>
  <c r="AD11" i="23" s="1"/>
  <c r="AD12" i="23" s="1"/>
  <c r="AD13" i="23" s="1"/>
  <c r="AD14" i="23" s="1"/>
  <c r="AD15" i="23" s="1"/>
  <c r="AD16" i="23" s="1"/>
  <c r="AD17" i="23" s="1"/>
  <c r="AD18" i="23" s="1"/>
  <c r="AD19" i="23" s="1"/>
  <c r="AD20" i="23" s="1"/>
  <c r="AD21" i="23" s="1"/>
  <c r="AD22" i="23" s="1"/>
  <c r="AD23" i="23" s="1"/>
  <c r="AD24" i="23" s="1"/>
  <c r="AD25" i="23" s="1"/>
  <c r="AD26" i="23" s="1"/>
  <c r="AD27" i="23" s="1"/>
  <c r="AD28" i="23" s="1"/>
  <c r="AD29" i="23" s="1"/>
  <c r="AD30" i="23" s="1"/>
  <c r="AD31" i="23" s="1"/>
  <c r="AD32" i="23" s="1"/>
  <c r="AD33" i="23" s="1"/>
  <c r="AD34" i="23" s="1"/>
  <c r="AD35" i="23" s="1"/>
  <c r="AD36" i="23" s="1"/>
  <c r="AD37" i="23" s="1"/>
  <c r="AX3" i="23"/>
  <c r="AX4" i="23" s="1"/>
  <c r="AX5" i="23" s="1"/>
  <c r="AX6" i="23" s="1"/>
  <c r="AX7" i="23" s="1"/>
  <c r="AX8" i="23" s="1"/>
  <c r="AX9" i="23" s="1"/>
  <c r="AX10" i="23" s="1"/>
  <c r="AX11" i="23" s="1"/>
  <c r="AX12" i="23" s="1"/>
  <c r="AX13" i="23" s="1"/>
  <c r="AX14" i="23" s="1"/>
  <c r="AX15" i="23" s="1"/>
  <c r="AX16" i="23" s="1"/>
  <c r="AX17" i="23" s="1"/>
  <c r="AX18" i="23" s="1"/>
  <c r="AX19" i="23" s="1"/>
  <c r="AX20" i="23" s="1"/>
  <c r="AX21" i="23" s="1"/>
  <c r="AX22" i="23" s="1"/>
  <c r="AX23" i="23" s="1"/>
  <c r="AX24" i="23" s="1"/>
  <c r="AX25" i="23" s="1"/>
  <c r="AX26" i="23" s="1"/>
  <c r="AX27" i="23" s="1"/>
  <c r="AX28" i="23" s="1"/>
  <c r="AX29" i="23" s="1"/>
  <c r="AX30" i="23" s="1"/>
  <c r="AX31" i="23" s="1"/>
  <c r="AX32" i="23" s="1"/>
  <c r="AX33" i="23" s="1"/>
  <c r="AX34" i="23" s="1"/>
  <c r="AX35" i="23" s="1"/>
  <c r="AX36" i="23" s="1"/>
  <c r="AX37" i="23" s="1"/>
  <c r="AS3" i="23"/>
  <c r="AS4" i="23" s="1"/>
  <c r="AS5" i="23" s="1"/>
  <c r="AS6" i="23" s="1"/>
  <c r="AS7" i="23" s="1"/>
  <c r="AS8" i="23" s="1"/>
  <c r="AS9" i="23" s="1"/>
  <c r="AS10" i="23" s="1"/>
  <c r="AS11" i="23" s="1"/>
  <c r="AS12" i="23" s="1"/>
  <c r="AS13" i="23" s="1"/>
  <c r="AS14" i="23" s="1"/>
  <c r="AS15" i="23" s="1"/>
  <c r="AS16" i="23" s="1"/>
  <c r="AS17" i="23" s="1"/>
  <c r="AS18" i="23" s="1"/>
  <c r="AS19" i="23" s="1"/>
  <c r="AS20" i="23" s="1"/>
  <c r="AS21" i="23" s="1"/>
  <c r="AS22" i="23" s="1"/>
  <c r="AS23" i="23" s="1"/>
  <c r="AS24" i="23" s="1"/>
  <c r="AS25" i="23" s="1"/>
  <c r="AS26" i="23" s="1"/>
  <c r="AS27" i="23" s="1"/>
  <c r="AS28" i="23" s="1"/>
  <c r="AS29" i="23" s="1"/>
  <c r="AS30" i="23" s="1"/>
  <c r="AS31" i="23" s="1"/>
  <c r="AS32" i="23" s="1"/>
  <c r="AS33" i="23" s="1"/>
  <c r="AS34" i="23" s="1"/>
  <c r="AS35" i="23" s="1"/>
  <c r="AS36" i="23" s="1"/>
  <c r="AS37" i="23" s="1"/>
  <c r="AN3" i="23"/>
  <c r="AN4" i="23" s="1"/>
  <c r="AN5" i="23" s="1"/>
  <c r="AN6" i="23" s="1"/>
  <c r="AN7" i="23" s="1"/>
  <c r="AN8" i="23" s="1"/>
  <c r="AN9" i="23" s="1"/>
  <c r="AN10" i="23" s="1"/>
  <c r="AN11" i="23" s="1"/>
  <c r="AN12" i="23" s="1"/>
  <c r="AN13" i="23" s="1"/>
  <c r="AN14" i="23" s="1"/>
  <c r="AN15" i="23" s="1"/>
  <c r="AN16" i="23" s="1"/>
  <c r="AN17" i="23" s="1"/>
  <c r="AN18" i="23" s="1"/>
  <c r="AN19" i="23" s="1"/>
  <c r="AN20" i="23" s="1"/>
  <c r="AN21" i="23" s="1"/>
  <c r="AN22" i="23" s="1"/>
  <c r="AN23" i="23" s="1"/>
  <c r="AN24" i="23" s="1"/>
  <c r="AN25" i="23" s="1"/>
  <c r="AN26" i="23" s="1"/>
  <c r="AN27" i="23" s="1"/>
  <c r="AN28" i="23" s="1"/>
  <c r="AN29" i="23" s="1"/>
  <c r="AN30" i="23" s="1"/>
  <c r="AN31" i="23" s="1"/>
  <c r="AN32" i="23" s="1"/>
  <c r="AN33" i="23" s="1"/>
  <c r="AN34" i="23" s="1"/>
  <c r="AN35" i="23" s="1"/>
  <c r="AN36" i="23" s="1"/>
  <c r="AN37" i="23" s="1"/>
  <c r="AI3" i="23"/>
  <c r="AI4" i="23" s="1"/>
  <c r="AI5" i="23" s="1"/>
  <c r="AI6" i="23" s="1"/>
  <c r="AI7" i="23" s="1"/>
  <c r="AI8" i="23" s="1"/>
  <c r="AI9" i="23" s="1"/>
  <c r="AI10" i="23" s="1"/>
  <c r="AI11" i="23" s="1"/>
  <c r="AI12" i="23" s="1"/>
  <c r="AI13" i="23" s="1"/>
  <c r="AI14" i="23" s="1"/>
  <c r="AI15" i="23" s="1"/>
  <c r="AI16" i="23" s="1"/>
  <c r="AI17" i="23" s="1"/>
  <c r="AI18" i="23" s="1"/>
  <c r="AI19" i="23" s="1"/>
  <c r="AI20" i="23" s="1"/>
  <c r="AI21" i="23" s="1"/>
  <c r="AI22" i="23" s="1"/>
  <c r="AI23" i="23" s="1"/>
  <c r="AI24" i="23" s="1"/>
  <c r="AI25" i="23" s="1"/>
  <c r="AI26" i="23" s="1"/>
  <c r="AI27" i="23" s="1"/>
  <c r="AI28" i="23" s="1"/>
  <c r="AI29" i="23" s="1"/>
  <c r="AI30" i="23" s="1"/>
  <c r="AI31" i="23" s="1"/>
  <c r="AI32" i="23" s="1"/>
  <c r="AI33" i="23" s="1"/>
  <c r="AI34" i="23" s="1"/>
  <c r="AI35" i="23" s="1"/>
  <c r="AI36" i="23" s="1"/>
  <c r="AI37" i="23" s="1"/>
  <c r="AD3" i="23"/>
  <c r="Y3" i="23"/>
  <c r="Y4" i="23" s="1"/>
  <c r="Y5" i="23" s="1"/>
  <c r="Y6" i="23" s="1"/>
  <c r="Y7" i="23" s="1"/>
  <c r="Y8" i="23" s="1"/>
  <c r="Y9" i="23" s="1"/>
  <c r="Y10" i="23" s="1"/>
  <c r="Y11" i="23" s="1"/>
  <c r="Y12" i="23" s="1"/>
  <c r="Y13" i="23" s="1"/>
  <c r="Y14" i="23" s="1"/>
  <c r="Y15" i="23" s="1"/>
  <c r="Y16" i="23" s="1"/>
  <c r="Y17" i="23" s="1"/>
  <c r="Y18" i="23" s="1"/>
  <c r="Y19" i="23" s="1"/>
  <c r="Y20" i="23" s="1"/>
  <c r="Y21" i="23" s="1"/>
  <c r="Y22" i="23" s="1"/>
  <c r="Y23" i="23" s="1"/>
  <c r="Y24" i="23" s="1"/>
  <c r="Y25" i="23" s="1"/>
  <c r="Y26" i="23" s="1"/>
  <c r="Y27" i="23" s="1"/>
  <c r="Y28" i="23" s="1"/>
  <c r="Y29" i="23" s="1"/>
  <c r="Y30" i="23" s="1"/>
  <c r="Y31" i="23" s="1"/>
  <c r="Y32" i="23" s="1"/>
  <c r="Y33" i="23" s="1"/>
  <c r="Y34" i="23" s="1"/>
  <c r="Y35" i="23" s="1"/>
  <c r="Y36" i="23" s="1"/>
  <c r="Y37" i="23" s="1"/>
  <c r="T3" i="23"/>
  <c r="T4" i="23" s="1"/>
  <c r="T5" i="23" s="1"/>
  <c r="T6" i="23" s="1"/>
  <c r="T7" i="23" s="1"/>
  <c r="T8" i="23" s="1"/>
  <c r="T9" i="23" s="1"/>
  <c r="T10" i="23" s="1"/>
  <c r="T11" i="23" s="1"/>
  <c r="T12" i="23" s="1"/>
  <c r="T13" i="23" s="1"/>
  <c r="T14" i="23" s="1"/>
  <c r="T15" i="23" s="1"/>
  <c r="T16" i="23" s="1"/>
  <c r="T17" i="23" s="1"/>
  <c r="T18" i="23" s="1"/>
  <c r="T19" i="23" s="1"/>
  <c r="T20" i="23" s="1"/>
  <c r="T21" i="23" s="1"/>
  <c r="T22" i="23" s="1"/>
  <c r="T23" i="23" s="1"/>
  <c r="T24" i="23" s="1"/>
  <c r="T25" i="23" s="1"/>
  <c r="T26" i="23" s="1"/>
  <c r="T27" i="23" s="1"/>
  <c r="T28" i="23" s="1"/>
  <c r="T29" i="23" s="1"/>
  <c r="T30" i="23" s="1"/>
  <c r="T31" i="23" s="1"/>
  <c r="T32" i="23" s="1"/>
  <c r="T33" i="23" s="1"/>
  <c r="T34" i="23" s="1"/>
  <c r="T35" i="23" s="1"/>
  <c r="T36" i="23" s="1"/>
  <c r="T37" i="23" s="1"/>
  <c r="O3" i="23"/>
  <c r="O4" i="23" s="1"/>
  <c r="O5" i="23" s="1"/>
  <c r="O6" i="23" s="1"/>
  <c r="O7" i="23" s="1"/>
  <c r="O8" i="23" s="1"/>
  <c r="O9" i="23" s="1"/>
  <c r="O10" i="23" s="1"/>
  <c r="O11" i="23" s="1"/>
  <c r="O12" i="23" s="1"/>
  <c r="O13" i="23" s="1"/>
  <c r="O14" i="23" s="1"/>
  <c r="O15" i="23" s="1"/>
  <c r="O16" i="23" s="1"/>
  <c r="O17" i="23" s="1"/>
  <c r="O18" i="23" s="1"/>
  <c r="O19" i="23" s="1"/>
  <c r="O20" i="23" s="1"/>
  <c r="O21" i="23" s="1"/>
  <c r="O22" i="23" s="1"/>
  <c r="O23" i="23" s="1"/>
  <c r="O24" i="23" s="1"/>
  <c r="O25" i="23" s="1"/>
  <c r="O26" i="23" s="1"/>
  <c r="O27" i="23" s="1"/>
  <c r="O28" i="23" s="1"/>
  <c r="O29" i="23" s="1"/>
  <c r="O30" i="23" s="1"/>
  <c r="O31" i="23" s="1"/>
  <c r="O32" i="23" s="1"/>
  <c r="O33" i="23" s="1"/>
  <c r="O34" i="23" s="1"/>
  <c r="O35" i="23" s="1"/>
  <c r="O36" i="23" s="1"/>
  <c r="O37" i="23" s="1"/>
  <c r="AW3" i="23"/>
  <c r="S3" i="23"/>
  <c r="U3" i="23" s="1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" i="23"/>
  <c r="N3" i="23" s="1"/>
  <c r="J3" i="23"/>
  <c r="J4" i="23" s="1"/>
  <c r="J5" i="23" s="1"/>
  <c r="J6" i="23" s="1"/>
  <c r="J7" i="23" s="1"/>
  <c r="J8" i="23" s="1"/>
  <c r="J9" i="23" s="1"/>
  <c r="J10" i="23" s="1"/>
  <c r="J11" i="23" s="1"/>
  <c r="J12" i="23" s="1"/>
  <c r="J13" i="23" s="1"/>
  <c r="J14" i="23" s="1"/>
  <c r="J15" i="23" s="1"/>
  <c r="J16" i="23" s="1"/>
  <c r="J17" i="23" s="1"/>
  <c r="J18" i="23" s="1"/>
  <c r="J19" i="23" s="1"/>
  <c r="J20" i="23" s="1"/>
  <c r="J21" i="23" s="1"/>
  <c r="J22" i="23" s="1"/>
  <c r="J23" i="23" s="1"/>
  <c r="J24" i="23" s="1"/>
  <c r="J25" i="23" s="1"/>
  <c r="J26" i="23" s="1"/>
  <c r="J27" i="23" s="1"/>
  <c r="J28" i="23" s="1"/>
  <c r="J29" i="23" s="1"/>
  <c r="J30" i="23" s="1"/>
  <c r="J31" i="23" s="1"/>
  <c r="J32" i="23" s="1"/>
  <c r="J33" i="23" s="1"/>
  <c r="J34" i="23" s="1"/>
  <c r="J35" i="23" s="1"/>
  <c r="J36" i="23" s="1"/>
  <c r="J37" i="23" s="1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" i="23"/>
  <c r="I3" i="23" s="1"/>
  <c r="K3" i="23" s="1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" i="23"/>
  <c r="D3" i="23" s="1"/>
  <c r="E3" i="23"/>
  <c r="E4" i="23" s="1"/>
  <c r="E5" i="23" s="1"/>
  <c r="E6" i="23" s="1"/>
  <c r="E7" i="23" s="1"/>
  <c r="E8" i="23" s="1"/>
  <c r="E9" i="23" s="1"/>
  <c r="E10" i="23" s="1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AH4" i="23" l="1"/>
  <c r="P3" i="23"/>
  <c r="N4" i="23"/>
  <c r="P4" i="23" s="1"/>
  <c r="AC4" i="23"/>
  <c r="I4" i="23"/>
  <c r="S4" i="23"/>
  <c r="U4" i="23" s="1"/>
  <c r="AW4" i="23"/>
  <c r="AW5" i="23" s="1"/>
  <c r="AR4" i="23"/>
  <c r="AT4" i="23" s="1"/>
  <c r="AE4" i="23"/>
  <c r="AC5" i="23"/>
  <c r="AC6" i="23" s="1"/>
  <c r="AC7" i="23" s="1"/>
  <c r="AC8" i="23" s="1"/>
  <c r="AC9" i="23" s="1"/>
  <c r="AC10" i="23" s="1"/>
  <c r="AC11" i="23" s="1"/>
  <c r="AC12" i="23" s="1"/>
  <c r="AC13" i="23" s="1"/>
  <c r="AC14" i="23" s="1"/>
  <c r="AC15" i="23" s="1"/>
  <c r="AC16" i="23" s="1"/>
  <c r="AC17" i="23" s="1"/>
  <c r="AC18" i="23" s="1"/>
  <c r="AC19" i="23" s="1"/>
  <c r="AC20" i="23" s="1"/>
  <c r="AC21" i="23" s="1"/>
  <c r="AC22" i="23" s="1"/>
  <c r="AC23" i="23" s="1"/>
  <c r="AC24" i="23" s="1"/>
  <c r="AC25" i="23" s="1"/>
  <c r="AC26" i="23" s="1"/>
  <c r="AC27" i="23" s="1"/>
  <c r="AC28" i="23" s="1"/>
  <c r="AC29" i="23" s="1"/>
  <c r="AC30" i="23" s="1"/>
  <c r="AC31" i="23" s="1"/>
  <c r="AC32" i="23" s="1"/>
  <c r="AC33" i="23" s="1"/>
  <c r="AC34" i="23" s="1"/>
  <c r="AC35" i="23" s="1"/>
  <c r="AC36" i="23" s="1"/>
  <c r="AC37" i="23" s="1"/>
  <c r="AE37" i="23" s="1"/>
  <c r="I5" i="23"/>
  <c r="K4" i="23"/>
  <c r="Z43" i="23"/>
  <c r="AC43" i="23"/>
  <c r="AE42" i="23"/>
  <c r="AH43" i="23"/>
  <c r="AJ42" i="23"/>
  <c r="S44" i="23"/>
  <c r="U43" i="23"/>
  <c r="AM44" i="23"/>
  <c r="AO43" i="23"/>
  <c r="I43" i="23"/>
  <c r="K42" i="23"/>
  <c r="N43" i="23"/>
  <c r="P42" i="23"/>
  <c r="AR45" i="23"/>
  <c r="AT44" i="23"/>
  <c r="AW43" i="23"/>
  <c r="AY42" i="23"/>
  <c r="D43" i="23"/>
  <c r="AT43" i="23"/>
  <c r="X44" i="23"/>
  <c r="U42" i="23"/>
  <c r="AO42" i="23"/>
  <c r="F42" i="23"/>
  <c r="Z42" i="23"/>
  <c r="AT42" i="23"/>
  <c r="AY3" i="23"/>
  <c r="AT3" i="23"/>
  <c r="AO3" i="23"/>
  <c r="AM4" i="23"/>
  <c r="AJ4" i="23"/>
  <c r="AH5" i="23"/>
  <c r="AJ3" i="23"/>
  <c r="X5" i="23"/>
  <c r="Z4" i="23"/>
  <c r="Z3" i="23"/>
  <c r="F3" i="23"/>
  <c r="D4" i="23"/>
  <c r="T40" i="8"/>
  <c r="R40" i="8"/>
  <c r="P40" i="8"/>
  <c r="N40" i="8"/>
  <c r="L40" i="8"/>
  <c r="J40" i="8"/>
  <c r="H40" i="8"/>
  <c r="F40" i="8"/>
  <c r="D40" i="8"/>
  <c r="B40" i="8"/>
  <c r="AR5" i="23" l="1"/>
  <c r="N5" i="23"/>
  <c r="AY4" i="23"/>
  <c r="AE5" i="23"/>
  <c r="S5" i="23"/>
  <c r="S6" i="23" s="1"/>
  <c r="AE19" i="23"/>
  <c r="AE34" i="23"/>
  <c r="AE21" i="23"/>
  <c r="AE8" i="23"/>
  <c r="AE6" i="23"/>
  <c r="L101" i="9" s="1"/>
  <c r="AE10" i="23"/>
  <c r="AE11" i="23"/>
  <c r="AE23" i="23"/>
  <c r="AE24" i="23"/>
  <c r="AE9" i="23"/>
  <c r="AE26" i="23"/>
  <c r="AE29" i="23"/>
  <c r="AE27" i="23"/>
  <c r="AE12" i="23"/>
  <c r="AE17" i="23"/>
  <c r="AE18" i="23"/>
  <c r="AE20" i="23"/>
  <c r="AE14" i="23"/>
  <c r="AE28" i="23"/>
  <c r="AE13" i="23"/>
  <c r="AE22" i="23"/>
  <c r="AE33" i="23"/>
  <c r="AE15" i="23"/>
  <c r="AE31" i="23"/>
  <c r="AE7" i="23"/>
  <c r="AE16" i="23"/>
  <c r="AE25" i="23"/>
  <c r="AE32" i="23"/>
  <c r="AE36" i="23"/>
  <c r="AE35" i="23"/>
  <c r="AE30" i="23"/>
  <c r="I6" i="23"/>
  <c r="K5" i="23"/>
  <c r="AE43" i="23"/>
  <c r="AC44" i="23"/>
  <c r="S45" i="23"/>
  <c r="U44" i="23"/>
  <c r="AR46" i="23"/>
  <c r="AT45" i="23"/>
  <c r="N44" i="23"/>
  <c r="P43" i="23"/>
  <c r="F43" i="23"/>
  <c r="D44" i="23"/>
  <c r="AW44" i="23"/>
  <c r="AY43" i="23"/>
  <c r="I44" i="23"/>
  <c r="K43" i="23"/>
  <c r="AM45" i="23"/>
  <c r="AO44" i="23"/>
  <c r="X45" i="23"/>
  <c r="Z44" i="23"/>
  <c r="AH44" i="23"/>
  <c r="AJ43" i="23"/>
  <c r="AY5" i="23"/>
  <c r="AW6" i="23"/>
  <c r="AR6" i="23"/>
  <c r="AT5" i="23"/>
  <c r="AO4" i="23"/>
  <c r="AM5" i="23"/>
  <c r="AH6" i="23"/>
  <c r="AJ5" i="23"/>
  <c r="X6" i="23"/>
  <c r="Z5" i="23"/>
  <c r="D5" i="23"/>
  <c r="F4" i="23"/>
  <c r="N6" i="23" l="1"/>
  <c r="P5" i="23"/>
  <c r="U5" i="23"/>
  <c r="I7" i="23"/>
  <c r="K6" i="23"/>
  <c r="D45" i="23"/>
  <c r="F44" i="23"/>
  <c r="AW45" i="23"/>
  <c r="AY44" i="23"/>
  <c r="N45" i="23"/>
  <c r="P44" i="23"/>
  <c r="AM46" i="23"/>
  <c r="AO45" i="23"/>
  <c r="I45" i="23"/>
  <c r="K44" i="23"/>
  <c r="AR47" i="23"/>
  <c r="AT46" i="23"/>
  <c r="S46" i="23"/>
  <c r="U45" i="23"/>
  <c r="AC45" i="23"/>
  <c r="AE44" i="23"/>
  <c r="AJ44" i="23"/>
  <c r="AH45" i="23"/>
  <c r="Z45" i="23"/>
  <c r="X46" i="23"/>
  <c r="AW7" i="23"/>
  <c r="AY6" i="23"/>
  <c r="AR7" i="23"/>
  <c r="AT6" i="23"/>
  <c r="AM6" i="23"/>
  <c r="AO5" i="23"/>
  <c r="AH7" i="23"/>
  <c r="AJ6" i="23"/>
  <c r="X7" i="23"/>
  <c r="Z6" i="23"/>
  <c r="S7" i="23"/>
  <c r="U6" i="23"/>
  <c r="D6" i="23"/>
  <c r="F5" i="23"/>
  <c r="N7" i="23" l="1"/>
  <c r="P6" i="23"/>
  <c r="I8" i="23"/>
  <c r="K7" i="23"/>
  <c r="AC46" i="23"/>
  <c r="AE45" i="23"/>
  <c r="S47" i="23"/>
  <c r="U46" i="23"/>
  <c r="AT47" i="23"/>
  <c r="AR48" i="23"/>
  <c r="I46" i="23"/>
  <c r="K45" i="23"/>
  <c r="AM47" i="23"/>
  <c r="AO46" i="23"/>
  <c r="N46" i="23"/>
  <c r="P45" i="23"/>
  <c r="X47" i="23"/>
  <c r="Z46" i="23"/>
  <c r="AW46" i="23"/>
  <c r="AY45" i="23"/>
  <c r="AH46" i="23"/>
  <c r="AJ45" i="23"/>
  <c r="F45" i="23"/>
  <c r="D46" i="23"/>
  <c r="AW8" i="23"/>
  <c r="AY7" i="23"/>
  <c r="AR8" i="23"/>
  <c r="AT7" i="23"/>
  <c r="AM7" i="23"/>
  <c r="AO6" i="23"/>
  <c r="AH8" i="23"/>
  <c r="AJ7" i="23"/>
  <c r="X8" i="23"/>
  <c r="Z7" i="23"/>
  <c r="S8" i="23"/>
  <c r="U7" i="23"/>
  <c r="F6" i="23"/>
  <c r="D7" i="23"/>
  <c r="N8" i="23" l="1"/>
  <c r="P7" i="23"/>
  <c r="I9" i="23"/>
  <c r="K8" i="23"/>
  <c r="Z47" i="23"/>
  <c r="X48" i="23"/>
  <c r="P46" i="23"/>
  <c r="N47" i="23"/>
  <c r="AM48" i="23"/>
  <c r="AO47" i="23"/>
  <c r="I47" i="23"/>
  <c r="K46" i="23"/>
  <c r="AR49" i="23"/>
  <c r="AT48" i="23"/>
  <c r="AW47" i="23"/>
  <c r="AY46" i="23"/>
  <c r="S48" i="23"/>
  <c r="U47" i="23"/>
  <c r="D47" i="23"/>
  <c r="F46" i="23"/>
  <c r="AJ46" i="23"/>
  <c r="AH47" i="23"/>
  <c r="AC47" i="23"/>
  <c r="AE46" i="23"/>
  <c r="AW9" i="23"/>
  <c r="AY8" i="23"/>
  <c r="AR9" i="23"/>
  <c r="AT8" i="23"/>
  <c r="AM8" i="23"/>
  <c r="AO7" i="23"/>
  <c r="AH9" i="23"/>
  <c r="AJ8" i="23"/>
  <c r="X9" i="23"/>
  <c r="Z8" i="23"/>
  <c r="S9" i="23"/>
  <c r="U8" i="23"/>
  <c r="D8" i="23"/>
  <c r="F7" i="23"/>
  <c r="T43" i="8"/>
  <c r="R43" i="8"/>
  <c r="P43" i="8"/>
  <c r="N43" i="8"/>
  <c r="L43" i="8"/>
  <c r="J43" i="8"/>
  <c r="H43" i="8"/>
  <c r="F43" i="8"/>
  <c r="D43" i="8"/>
  <c r="B43" i="8"/>
  <c r="N9" i="23" l="1"/>
  <c r="P8" i="23"/>
  <c r="I10" i="23"/>
  <c r="K9" i="23"/>
  <c r="F47" i="23"/>
  <c r="D48" i="23"/>
  <c r="I48" i="23"/>
  <c r="K47" i="23"/>
  <c r="AM49" i="23"/>
  <c r="AO48" i="23"/>
  <c r="N48" i="23"/>
  <c r="P47" i="23"/>
  <c r="AW48" i="23"/>
  <c r="AY47" i="23"/>
  <c r="AC48" i="23"/>
  <c r="AE47" i="23"/>
  <c r="AH48" i="23"/>
  <c r="AJ47" i="23"/>
  <c r="X49" i="23"/>
  <c r="Z48" i="23"/>
  <c r="S49" i="23"/>
  <c r="U48" i="23"/>
  <c r="AT49" i="23"/>
  <c r="AR50" i="23"/>
  <c r="AW10" i="23"/>
  <c r="AY9" i="23"/>
  <c r="AR10" i="23"/>
  <c r="AT9" i="23"/>
  <c r="AM9" i="23"/>
  <c r="AO8" i="23"/>
  <c r="AH10" i="23"/>
  <c r="AJ9" i="23"/>
  <c r="X10" i="23"/>
  <c r="Z9" i="23"/>
  <c r="S10" i="23"/>
  <c r="U9" i="23"/>
  <c r="F8" i="23"/>
  <c r="D9" i="23"/>
  <c r="F11" i="21"/>
  <c r="B11" i="21"/>
  <c r="F10" i="21"/>
  <c r="B10" i="21"/>
  <c r="F9" i="21"/>
  <c r="B9" i="21"/>
  <c r="F8" i="21"/>
  <c r="B8" i="21"/>
  <c r="F7" i="21"/>
  <c r="B7" i="21"/>
  <c r="F6" i="21"/>
  <c r="B6" i="21"/>
  <c r="F5" i="21"/>
  <c r="B5" i="21"/>
  <c r="F4" i="21"/>
  <c r="B4" i="21"/>
  <c r="F3" i="21"/>
  <c r="B3" i="21"/>
  <c r="F2" i="21"/>
  <c r="B2" i="21"/>
  <c r="N10" i="23" l="1"/>
  <c r="P9" i="23"/>
  <c r="I11" i="23"/>
  <c r="K10" i="23"/>
  <c r="S50" i="23"/>
  <c r="U49" i="23"/>
  <c r="AM50" i="23"/>
  <c r="AO49" i="23"/>
  <c r="AR51" i="23"/>
  <c r="AT50" i="23"/>
  <c r="Z49" i="23"/>
  <c r="X50" i="23"/>
  <c r="AJ48" i="23"/>
  <c r="AH49" i="23"/>
  <c r="AC49" i="23"/>
  <c r="AE48" i="23"/>
  <c r="AW49" i="23"/>
  <c r="AY48" i="23"/>
  <c r="P48" i="23"/>
  <c r="N49" i="23"/>
  <c r="I49" i="23"/>
  <c r="K48" i="23"/>
  <c r="D49" i="23"/>
  <c r="F48" i="23"/>
  <c r="AW11" i="23"/>
  <c r="AY10" i="23"/>
  <c r="AR11" i="23"/>
  <c r="AT10" i="23"/>
  <c r="AM10" i="23"/>
  <c r="AO9" i="23"/>
  <c r="AH11" i="23"/>
  <c r="AJ10" i="23"/>
  <c r="X11" i="23"/>
  <c r="Z10" i="23"/>
  <c r="S11" i="23"/>
  <c r="U10" i="23"/>
  <c r="F9" i="23"/>
  <c r="D10" i="23"/>
  <c r="B2" i="15"/>
  <c r="D2" i="15" s="1"/>
  <c r="I2" i="15"/>
  <c r="K2" i="15" s="1"/>
  <c r="B3" i="15"/>
  <c r="D3" i="15" s="1"/>
  <c r="I3" i="15"/>
  <c r="K3" i="15" s="1"/>
  <c r="B4" i="15"/>
  <c r="D4" i="15" s="1"/>
  <c r="I4" i="15"/>
  <c r="M4" i="15" s="1"/>
  <c r="B5" i="15"/>
  <c r="F5" i="15" s="1"/>
  <c r="I5" i="15"/>
  <c r="K5" i="15" s="1"/>
  <c r="B6" i="15"/>
  <c r="D6" i="15" s="1"/>
  <c r="I6" i="15"/>
  <c r="K6" i="15" s="1"/>
  <c r="B7" i="15"/>
  <c r="D7" i="15" s="1"/>
  <c r="I7" i="15"/>
  <c r="M7" i="15" s="1"/>
  <c r="B8" i="15"/>
  <c r="D8" i="15" s="1"/>
  <c r="I8" i="15"/>
  <c r="O8" i="15" s="1"/>
  <c r="B9" i="15"/>
  <c r="D9" i="15" s="1"/>
  <c r="I9" i="15"/>
  <c r="K9" i="15" s="1"/>
  <c r="B10" i="15"/>
  <c r="D10" i="15" s="1"/>
  <c r="I10" i="15"/>
  <c r="M10" i="15" s="1"/>
  <c r="B11" i="15"/>
  <c r="H11" i="15" s="1"/>
  <c r="I11" i="15"/>
  <c r="K11" i="15" s="1"/>
  <c r="N11" i="23" l="1"/>
  <c r="P10" i="23"/>
  <c r="I12" i="23"/>
  <c r="K11" i="23"/>
  <c r="AW50" i="23"/>
  <c r="AY49" i="23"/>
  <c r="N50" i="23"/>
  <c r="P49" i="23"/>
  <c r="X51" i="23"/>
  <c r="Z50" i="23"/>
  <c r="F49" i="23"/>
  <c r="D50" i="23"/>
  <c r="AC50" i="23"/>
  <c r="AE49" i="23"/>
  <c r="AH50" i="23"/>
  <c r="AJ49" i="23"/>
  <c r="AR52" i="23"/>
  <c r="AT51" i="23"/>
  <c r="AO50" i="23"/>
  <c r="AM51" i="23"/>
  <c r="I50" i="23"/>
  <c r="K49" i="23"/>
  <c r="S51" i="23"/>
  <c r="U50" i="23"/>
  <c r="AW12" i="23"/>
  <c r="AY11" i="23"/>
  <c r="AR12" i="23"/>
  <c r="AT11" i="23"/>
  <c r="AM11" i="23"/>
  <c r="AO10" i="23"/>
  <c r="AH12" i="23"/>
  <c r="AJ11" i="23"/>
  <c r="X12" i="23"/>
  <c r="Z11" i="23"/>
  <c r="S12" i="23"/>
  <c r="U11" i="23"/>
  <c r="F10" i="23"/>
  <c r="D11" i="23"/>
  <c r="M8" i="15"/>
  <c r="K8" i="15"/>
  <c r="H3" i="15"/>
  <c r="O10" i="15"/>
  <c r="O3" i="15"/>
  <c r="O2" i="15"/>
  <c r="M2" i="15"/>
  <c r="O6" i="15"/>
  <c r="M6" i="15"/>
  <c r="D5" i="15"/>
  <c r="H7" i="15"/>
  <c r="F7" i="15"/>
  <c r="M3" i="15"/>
  <c r="F3" i="15"/>
  <c r="O11" i="15"/>
  <c r="M11" i="15"/>
  <c r="K10" i="15"/>
  <c r="O5" i="15"/>
  <c r="M5" i="15"/>
  <c r="H5" i="15"/>
  <c r="H9" i="15"/>
  <c r="F9" i="15"/>
  <c r="F11" i="15"/>
  <c r="D11" i="15"/>
  <c r="K7" i="15"/>
  <c r="O7" i="15"/>
  <c r="O9" i="15"/>
  <c r="M9" i="15"/>
  <c r="K4" i="15"/>
  <c r="O4" i="15"/>
  <c r="H4" i="15"/>
  <c r="H2" i="15"/>
  <c r="H10" i="15"/>
  <c r="H8" i="15"/>
  <c r="H6" i="15"/>
  <c r="F10" i="15"/>
  <c r="F8" i="15"/>
  <c r="F6" i="15"/>
  <c r="F4" i="15"/>
  <c r="F2" i="15"/>
  <c r="N12" i="23" l="1"/>
  <c r="P11" i="23"/>
  <c r="I13" i="23"/>
  <c r="K12" i="23"/>
  <c r="AR53" i="23"/>
  <c r="AT52" i="23"/>
  <c r="AC51" i="23"/>
  <c r="AE50" i="23"/>
  <c r="D51" i="23"/>
  <c r="F50" i="23"/>
  <c r="Z51" i="23"/>
  <c r="X52" i="23"/>
  <c r="AM52" i="23"/>
  <c r="AO51" i="23"/>
  <c r="AJ50" i="23"/>
  <c r="AH51" i="23"/>
  <c r="S52" i="23"/>
  <c r="U51" i="23"/>
  <c r="N51" i="23"/>
  <c r="P50" i="23"/>
  <c r="I51" i="23"/>
  <c r="K50" i="23"/>
  <c r="AW51" i="23"/>
  <c r="AY50" i="23"/>
  <c r="AW13" i="23"/>
  <c r="AY12" i="23"/>
  <c r="AR13" i="23"/>
  <c r="AT12" i="23"/>
  <c r="AM12" i="23"/>
  <c r="AO11" i="23"/>
  <c r="AH13" i="23"/>
  <c r="AJ12" i="23"/>
  <c r="X13" i="23"/>
  <c r="Z12" i="23"/>
  <c r="S13" i="23"/>
  <c r="U12" i="23"/>
  <c r="D12" i="23"/>
  <c r="F11" i="23"/>
  <c r="T73" i="8"/>
  <c r="U73" i="8" s="1"/>
  <c r="T72" i="8"/>
  <c r="U72" i="8" s="1"/>
  <c r="T71" i="8"/>
  <c r="U71" i="8" s="1"/>
  <c r="T70" i="8"/>
  <c r="U70" i="8" s="1"/>
  <c r="T69" i="8"/>
  <c r="U69" i="8" s="1"/>
  <c r="T68" i="8"/>
  <c r="U68" i="8" s="1"/>
  <c r="T67" i="8"/>
  <c r="U67" i="8" s="1"/>
  <c r="T66" i="8"/>
  <c r="U66" i="8" s="1"/>
  <c r="R73" i="8"/>
  <c r="S73" i="8" s="1"/>
  <c r="R72" i="8"/>
  <c r="S72" i="8" s="1"/>
  <c r="R71" i="8"/>
  <c r="S71" i="8" s="1"/>
  <c r="R70" i="8"/>
  <c r="S70" i="8" s="1"/>
  <c r="R69" i="8"/>
  <c r="S69" i="8" s="1"/>
  <c r="R68" i="8"/>
  <c r="S68" i="8" s="1"/>
  <c r="R67" i="8"/>
  <c r="S67" i="8" s="1"/>
  <c r="R66" i="8"/>
  <c r="S66" i="8" s="1"/>
  <c r="P73" i="8"/>
  <c r="Q73" i="8" s="1"/>
  <c r="P72" i="8"/>
  <c r="Q72" i="8" s="1"/>
  <c r="P71" i="8"/>
  <c r="Q71" i="8" s="1"/>
  <c r="P70" i="8"/>
  <c r="Q70" i="8" s="1"/>
  <c r="P69" i="8"/>
  <c r="Q69" i="8" s="1"/>
  <c r="P68" i="8"/>
  <c r="Q68" i="8" s="1"/>
  <c r="P67" i="8"/>
  <c r="Q67" i="8" s="1"/>
  <c r="P66" i="8"/>
  <c r="Q66" i="8" s="1"/>
  <c r="N73" i="8"/>
  <c r="O73" i="8" s="1"/>
  <c r="N72" i="8"/>
  <c r="O72" i="8" s="1"/>
  <c r="N71" i="8"/>
  <c r="O71" i="8" s="1"/>
  <c r="N70" i="8"/>
  <c r="O70" i="8" s="1"/>
  <c r="N69" i="8"/>
  <c r="O69" i="8" s="1"/>
  <c r="N68" i="8"/>
  <c r="O68" i="8" s="1"/>
  <c r="N67" i="8"/>
  <c r="O67" i="8" s="1"/>
  <c r="N66" i="8"/>
  <c r="O66" i="8" s="1"/>
  <c r="L73" i="8"/>
  <c r="M73" i="8" s="1"/>
  <c r="L72" i="8"/>
  <c r="M72" i="8" s="1"/>
  <c r="L71" i="8"/>
  <c r="M71" i="8" s="1"/>
  <c r="L70" i="8"/>
  <c r="M70" i="8" s="1"/>
  <c r="L69" i="8"/>
  <c r="M69" i="8" s="1"/>
  <c r="L68" i="8"/>
  <c r="M68" i="8" s="1"/>
  <c r="L67" i="8"/>
  <c r="M67" i="8" s="1"/>
  <c r="L66" i="8"/>
  <c r="M66" i="8" s="1"/>
  <c r="J73" i="8"/>
  <c r="K73" i="8" s="1"/>
  <c r="J72" i="8"/>
  <c r="K72" i="8" s="1"/>
  <c r="J71" i="8"/>
  <c r="K71" i="8" s="1"/>
  <c r="J70" i="8"/>
  <c r="K70" i="8" s="1"/>
  <c r="J69" i="8"/>
  <c r="K69" i="8" s="1"/>
  <c r="J68" i="8"/>
  <c r="K68" i="8" s="1"/>
  <c r="J67" i="8"/>
  <c r="K67" i="8" s="1"/>
  <c r="J66" i="8"/>
  <c r="K66" i="8" s="1"/>
  <c r="H73" i="8"/>
  <c r="I73" i="8" s="1"/>
  <c r="H72" i="8"/>
  <c r="I72" i="8" s="1"/>
  <c r="H71" i="8"/>
  <c r="I71" i="8" s="1"/>
  <c r="H70" i="8"/>
  <c r="I70" i="8" s="1"/>
  <c r="H69" i="8"/>
  <c r="I69" i="8" s="1"/>
  <c r="H68" i="8"/>
  <c r="I68" i="8" s="1"/>
  <c r="H67" i="8"/>
  <c r="I67" i="8" s="1"/>
  <c r="H66" i="8"/>
  <c r="I66" i="8" s="1"/>
  <c r="F73" i="8"/>
  <c r="G73" i="8" s="1"/>
  <c r="F72" i="8"/>
  <c r="G72" i="8" s="1"/>
  <c r="F71" i="8"/>
  <c r="G71" i="8" s="1"/>
  <c r="F70" i="8"/>
  <c r="G70" i="8" s="1"/>
  <c r="F69" i="8"/>
  <c r="G69" i="8" s="1"/>
  <c r="F68" i="8"/>
  <c r="G68" i="8" s="1"/>
  <c r="F67" i="8"/>
  <c r="G67" i="8" s="1"/>
  <c r="F66" i="8"/>
  <c r="G66" i="8" s="1"/>
  <c r="D73" i="8"/>
  <c r="E73" i="8" s="1"/>
  <c r="D72" i="8"/>
  <c r="E72" i="8" s="1"/>
  <c r="D71" i="8"/>
  <c r="E71" i="8" s="1"/>
  <c r="D70" i="8"/>
  <c r="E70" i="8" s="1"/>
  <c r="D69" i="8"/>
  <c r="E69" i="8" s="1"/>
  <c r="D68" i="8"/>
  <c r="E68" i="8" s="1"/>
  <c r="D67" i="8"/>
  <c r="E67" i="8" s="1"/>
  <c r="D66" i="8"/>
  <c r="E66" i="8" s="1"/>
  <c r="B73" i="8"/>
  <c r="C73" i="8" s="1"/>
  <c r="B72" i="8"/>
  <c r="C72" i="8" s="1"/>
  <c r="B64" i="8"/>
  <c r="C64" i="8" s="1"/>
  <c r="B71" i="8"/>
  <c r="C71" i="8" s="1"/>
  <c r="B63" i="8"/>
  <c r="C63" i="8" s="1"/>
  <c r="B70" i="8"/>
  <c r="C70" i="8" s="1"/>
  <c r="B62" i="8"/>
  <c r="C62" i="8" s="1"/>
  <c r="B69" i="8"/>
  <c r="C69" i="8" s="1"/>
  <c r="B61" i="8"/>
  <c r="C61" i="8" s="1"/>
  <c r="B68" i="8"/>
  <c r="C68" i="8" s="1"/>
  <c r="B60" i="8"/>
  <c r="C60" i="8" s="1"/>
  <c r="B67" i="8"/>
  <c r="C67" i="8" s="1"/>
  <c r="B59" i="8"/>
  <c r="C59" i="8" s="1"/>
  <c r="B66" i="8"/>
  <c r="C66" i="8" s="1"/>
  <c r="B58" i="8"/>
  <c r="C58" i="8" s="1"/>
  <c r="B57" i="8"/>
  <c r="C57" i="8" s="1"/>
  <c r="N13" i="23" l="1"/>
  <c r="P12" i="23"/>
  <c r="I14" i="23"/>
  <c r="K13" i="23"/>
  <c r="S53" i="23"/>
  <c r="U52" i="23"/>
  <c r="X53" i="23"/>
  <c r="Z52" i="23"/>
  <c r="AY51" i="23"/>
  <c r="AW52" i="23"/>
  <c r="AE51" i="23"/>
  <c r="AC52" i="23"/>
  <c r="N52" i="23"/>
  <c r="P51" i="23"/>
  <c r="AO52" i="23"/>
  <c r="AM53" i="23"/>
  <c r="AH52" i="23"/>
  <c r="AJ51" i="23"/>
  <c r="F51" i="23"/>
  <c r="D52" i="23"/>
  <c r="K51" i="23"/>
  <c r="I52" i="23"/>
  <c r="AT53" i="23"/>
  <c r="AR54" i="23"/>
  <c r="AW14" i="23"/>
  <c r="AY13" i="23"/>
  <c r="AR14" i="23"/>
  <c r="AT13" i="23"/>
  <c r="AM13" i="23"/>
  <c r="AO12" i="23"/>
  <c r="AH14" i="23"/>
  <c r="AJ13" i="23"/>
  <c r="X14" i="23"/>
  <c r="Z13" i="23"/>
  <c r="S14" i="23"/>
  <c r="U13" i="23"/>
  <c r="D13" i="23"/>
  <c r="F12" i="23"/>
  <c r="T64" i="8"/>
  <c r="U64" i="8" s="1"/>
  <c r="R64" i="8"/>
  <c r="S64" i="8" s="1"/>
  <c r="P64" i="8"/>
  <c r="Q64" i="8" s="1"/>
  <c r="N64" i="8"/>
  <c r="O64" i="8" s="1"/>
  <c r="L64" i="8"/>
  <c r="M64" i="8" s="1"/>
  <c r="J64" i="8"/>
  <c r="K64" i="8" s="1"/>
  <c r="H64" i="8"/>
  <c r="I64" i="8" s="1"/>
  <c r="F64" i="8"/>
  <c r="G64" i="8" s="1"/>
  <c r="D64" i="8"/>
  <c r="E64" i="8" s="1"/>
  <c r="N14" i="23" l="1"/>
  <c r="P13" i="23"/>
  <c r="I15" i="23"/>
  <c r="K14" i="23"/>
  <c r="D53" i="23"/>
  <c r="F52" i="23"/>
  <c r="AM54" i="23"/>
  <c r="AO53" i="23"/>
  <c r="AC53" i="23"/>
  <c r="AE52" i="23"/>
  <c r="AW53" i="23"/>
  <c r="AY52" i="23"/>
  <c r="I53" i="23"/>
  <c r="K52" i="23"/>
  <c r="AJ52" i="23"/>
  <c r="AH53" i="23"/>
  <c r="P52" i="23"/>
  <c r="N53" i="23"/>
  <c r="AR55" i="23"/>
  <c r="AT54" i="23"/>
  <c r="X54" i="23"/>
  <c r="Z53" i="23"/>
  <c r="S54" i="23"/>
  <c r="U53" i="23"/>
  <c r="AW15" i="23"/>
  <c r="AY14" i="23"/>
  <c r="AR15" i="23"/>
  <c r="AT14" i="23"/>
  <c r="AM14" i="23"/>
  <c r="AO13" i="23"/>
  <c r="AH15" i="23"/>
  <c r="AJ14" i="23"/>
  <c r="X15" i="23"/>
  <c r="Z14" i="23"/>
  <c r="S15" i="23"/>
  <c r="U14" i="23"/>
  <c r="F13" i="23"/>
  <c r="D14" i="23"/>
  <c r="P39" i="16"/>
  <c r="Q39" i="16"/>
  <c r="R39" i="16"/>
  <c r="S39" i="16"/>
  <c r="T39" i="16"/>
  <c r="U39" i="16"/>
  <c r="V39" i="16"/>
  <c r="W39" i="16"/>
  <c r="X39" i="16"/>
  <c r="O39" i="16"/>
  <c r="C39" i="16"/>
  <c r="D39" i="16"/>
  <c r="E39" i="16"/>
  <c r="F39" i="16"/>
  <c r="G39" i="16"/>
  <c r="H39" i="16"/>
  <c r="I39" i="16"/>
  <c r="J39" i="16"/>
  <c r="K39" i="16"/>
  <c r="B39" i="16"/>
  <c r="T63" i="8"/>
  <c r="U63" i="8" s="1"/>
  <c r="R63" i="8"/>
  <c r="S63" i="8" s="1"/>
  <c r="P63" i="8"/>
  <c r="Q63" i="8" s="1"/>
  <c r="N63" i="8"/>
  <c r="O63" i="8" s="1"/>
  <c r="L63" i="8"/>
  <c r="M63" i="8" s="1"/>
  <c r="J63" i="8"/>
  <c r="K63" i="8" s="1"/>
  <c r="H63" i="8"/>
  <c r="I63" i="8" s="1"/>
  <c r="F63" i="8"/>
  <c r="G63" i="8" s="1"/>
  <c r="D63" i="8"/>
  <c r="E63" i="8" s="1"/>
  <c r="T62" i="8"/>
  <c r="U62" i="8" s="1"/>
  <c r="R62" i="8"/>
  <c r="S62" i="8" s="1"/>
  <c r="P62" i="8"/>
  <c r="Q62" i="8" s="1"/>
  <c r="N62" i="8"/>
  <c r="O62" i="8" s="1"/>
  <c r="L62" i="8"/>
  <c r="M62" i="8" s="1"/>
  <c r="J62" i="8"/>
  <c r="K62" i="8" s="1"/>
  <c r="H62" i="8"/>
  <c r="I62" i="8" s="1"/>
  <c r="F62" i="8"/>
  <c r="G62" i="8" s="1"/>
  <c r="D62" i="8"/>
  <c r="E62" i="8" s="1"/>
  <c r="T61" i="8"/>
  <c r="U61" i="8" s="1"/>
  <c r="R61" i="8"/>
  <c r="S61" i="8" s="1"/>
  <c r="P61" i="8"/>
  <c r="Q61" i="8" s="1"/>
  <c r="N61" i="8"/>
  <c r="O61" i="8" s="1"/>
  <c r="L61" i="8"/>
  <c r="M61" i="8" s="1"/>
  <c r="J61" i="8"/>
  <c r="K61" i="8" s="1"/>
  <c r="H61" i="8"/>
  <c r="I61" i="8" s="1"/>
  <c r="F61" i="8"/>
  <c r="G61" i="8" s="1"/>
  <c r="D61" i="8"/>
  <c r="E61" i="8" s="1"/>
  <c r="T60" i="8"/>
  <c r="U60" i="8" s="1"/>
  <c r="R60" i="8"/>
  <c r="S60" i="8" s="1"/>
  <c r="P60" i="8"/>
  <c r="Q60" i="8" s="1"/>
  <c r="N60" i="8"/>
  <c r="O60" i="8" s="1"/>
  <c r="L60" i="8"/>
  <c r="M60" i="8" s="1"/>
  <c r="J60" i="8"/>
  <c r="K60" i="8" s="1"/>
  <c r="H60" i="8"/>
  <c r="I60" i="8" s="1"/>
  <c r="F60" i="8"/>
  <c r="G60" i="8" s="1"/>
  <c r="D60" i="8"/>
  <c r="E60" i="8" s="1"/>
  <c r="T59" i="8"/>
  <c r="U59" i="8" s="1"/>
  <c r="R59" i="8"/>
  <c r="S59" i="8" s="1"/>
  <c r="P59" i="8"/>
  <c r="Q59" i="8" s="1"/>
  <c r="N59" i="8"/>
  <c r="O59" i="8" s="1"/>
  <c r="L59" i="8"/>
  <c r="M59" i="8" s="1"/>
  <c r="J59" i="8"/>
  <c r="K59" i="8" s="1"/>
  <c r="H59" i="8"/>
  <c r="I59" i="8" s="1"/>
  <c r="F59" i="8"/>
  <c r="G59" i="8" s="1"/>
  <c r="D59" i="8"/>
  <c r="E59" i="8" s="1"/>
  <c r="T58" i="8"/>
  <c r="U58" i="8" s="1"/>
  <c r="R58" i="8"/>
  <c r="S58" i="8" s="1"/>
  <c r="P58" i="8"/>
  <c r="Q58" i="8" s="1"/>
  <c r="N58" i="8"/>
  <c r="O58" i="8" s="1"/>
  <c r="L58" i="8"/>
  <c r="M58" i="8" s="1"/>
  <c r="J58" i="8"/>
  <c r="K58" i="8" s="1"/>
  <c r="H58" i="8"/>
  <c r="I58" i="8" s="1"/>
  <c r="F58" i="8"/>
  <c r="G58" i="8" s="1"/>
  <c r="D58" i="8"/>
  <c r="E58" i="8" s="1"/>
  <c r="T57" i="8"/>
  <c r="U57" i="8" s="1"/>
  <c r="R57" i="8"/>
  <c r="S57" i="8" s="1"/>
  <c r="P57" i="8"/>
  <c r="Q57" i="8" s="1"/>
  <c r="N57" i="8"/>
  <c r="O57" i="8" s="1"/>
  <c r="L57" i="8"/>
  <c r="M57" i="8" s="1"/>
  <c r="J57" i="8"/>
  <c r="K57" i="8" s="1"/>
  <c r="H57" i="8"/>
  <c r="I57" i="8" s="1"/>
  <c r="F57" i="8"/>
  <c r="G57" i="8" s="1"/>
  <c r="D57" i="8"/>
  <c r="E57" i="8" s="1"/>
  <c r="N15" i="23" l="1"/>
  <c r="P14" i="23"/>
  <c r="I16" i="23"/>
  <c r="K15" i="23"/>
  <c r="N54" i="23"/>
  <c r="P53" i="23"/>
  <c r="AH54" i="23"/>
  <c r="AJ53" i="23"/>
  <c r="AT55" i="23"/>
  <c r="AR56" i="23"/>
  <c r="K53" i="23"/>
  <c r="I54" i="23"/>
  <c r="AW54" i="23"/>
  <c r="AY53" i="23"/>
  <c r="AE53" i="23"/>
  <c r="AC54" i="23"/>
  <c r="U54" i="23"/>
  <c r="S55" i="23"/>
  <c r="AO54" i="23"/>
  <c r="AM55" i="23"/>
  <c r="X55" i="23"/>
  <c r="Z54" i="23"/>
  <c r="F53" i="23"/>
  <c r="D54" i="23"/>
  <c r="AW16" i="23"/>
  <c r="AY15" i="23"/>
  <c r="AR16" i="23"/>
  <c r="AT15" i="23"/>
  <c r="AM15" i="23"/>
  <c r="AO14" i="23"/>
  <c r="AH16" i="23"/>
  <c r="AJ15" i="23"/>
  <c r="X16" i="23"/>
  <c r="Z15" i="23"/>
  <c r="S16" i="23"/>
  <c r="U15" i="23"/>
  <c r="F14" i="23"/>
  <c r="D15" i="23"/>
  <c r="D68" i="11"/>
  <c r="F68" i="11"/>
  <c r="H68" i="11"/>
  <c r="J68" i="11"/>
  <c r="L68" i="11"/>
  <c r="N68" i="11"/>
  <c r="P68" i="11"/>
  <c r="R68" i="11"/>
  <c r="T68" i="11"/>
  <c r="B68" i="11"/>
  <c r="D67" i="11"/>
  <c r="F67" i="11"/>
  <c r="H67" i="11"/>
  <c r="J67" i="11"/>
  <c r="L67" i="11"/>
  <c r="N67" i="11"/>
  <c r="P67" i="11"/>
  <c r="R67" i="11"/>
  <c r="T67" i="11"/>
  <c r="B67" i="11"/>
  <c r="N16" i="23" l="1"/>
  <c r="P15" i="23"/>
  <c r="I17" i="23"/>
  <c r="K16" i="23"/>
  <c r="AM56" i="23"/>
  <c r="AO55" i="23"/>
  <c r="AW55" i="23"/>
  <c r="AY54" i="23"/>
  <c r="S56" i="23"/>
  <c r="U55" i="23"/>
  <c r="AC55" i="23"/>
  <c r="AE54" i="23"/>
  <c r="I55" i="23"/>
  <c r="K54" i="23"/>
  <c r="AR57" i="23"/>
  <c r="AT56" i="23"/>
  <c r="D55" i="23"/>
  <c r="F54" i="23"/>
  <c r="AJ54" i="23"/>
  <c r="AH55" i="23"/>
  <c r="Z55" i="23"/>
  <c r="X56" i="23"/>
  <c r="P54" i="23"/>
  <c r="N55" i="23"/>
  <c r="AW17" i="23"/>
  <c r="AY16" i="23"/>
  <c r="AR17" i="23"/>
  <c r="AT16" i="23"/>
  <c r="AM16" i="23"/>
  <c r="AO15" i="23"/>
  <c r="AH17" i="23"/>
  <c r="AJ16" i="23"/>
  <c r="X17" i="23"/>
  <c r="Z16" i="23"/>
  <c r="S17" i="23"/>
  <c r="U16" i="23"/>
  <c r="F15" i="23"/>
  <c r="D16" i="23"/>
  <c r="N17" i="23" l="1"/>
  <c r="P16" i="23"/>
  <c r="I18" i="23"/>
  <c r="K17" i="23"/>
  <c r="AH56" i="23"/>
  <c r="AJ55" i="23"/>
  <c r="D56" i="23"/>
  <c r="F55" i="23"/>
  <c r="AR58" i="23"/>
  <c r="AT57" i="23"/>
  <c r="K55" i="23"/>
  <c r="I56" i="23"/>
  <c r="AC56" i="23"/>
  <c r="AE55" i="23"/>
  <c r="U56" i="23"/>
  <c r="S57" i="23"/>
  <c r="N56" i="23"/>
  <c r="P55" i="23"/>
  <c r="AY55" i="23"/>
  <c r="AW56" i="23"/>
  <c r="X57" i="23"/>
  <c r="Z56" i="23"/>
  <c r="AO56" i="23"/>
  <c r="AM57" i="23"/>
  <c r="AW18" i="23"/>
  <c r="AY17" i="23"/>
  <c r="AR18" i="23"/>
  <c r="AT17" i="23"/>
  <c r="AM17" i="23"/>
  <c r="AO16" i="23"/>
  <c r="AH18" i="23"/>
  <c r="AJ17" i="23"/>
  <c r="X18" i="23"/>
  <c r="Z17" i="23"/>
  <c r="S18" i="23"/>
  <c r="U17" i="23"/>
  <c r="D17" i="23"/>
  <c r="F16" i="23"/>
  <c r="AF8" i="15"/>
  <c r="AG8" i="15" s="1"/>
  <c r="AF4" i="15"/>
  <c r="AG4" i="15" s="1"/>
  <c r="AF2" i="15"/>
  <c r="AG2" i="15" s="1"/>
  <c r="AF3" i="15"/>
  <c r="AG3" i="15" s="1"/>
  <c r="AF10" i="15"/>
  <c r="AG10" i="15" s="1"/>
  <c r="AF11" i="15"/>
  <c r="AG11" i="15" s="1"/>
  <c r="AF5" i="15"/>
  <c r="AG5" i="15" s="1"/>
  <c r="AF9" i="15"/>
  <c r="AG9" i="15" s="1"/>
  <c r="AF6" i="15"/>
  <c r="AG6" i="15" s="1"/>
  <c r="AF7" i="15"/>
  <c r="AG7" i="15" s="1"/>
  <c r="N18" i="23" l="1"/>
  <c r="P17" i="23"/>
  <c r="I19" i="23"/>
  <c r="K18" i="23"/>
  <c r="AW57" i="23"/>
  <c r="AY56" i="23"/>
  <c r="P56" i="23"/>
  <c r="N57" i="23"/>
  <c r="S58" i="23"/>
  <c r="U57" i="23"/>
  <c r="I57" i="23"/>
  <c r="K56" i="23"/>
  <c r="AR59" i="23"/>
  <c r="AT58" i="23"/>
  <c r="AC57" i="23"/>
  <c r="AE56" i="23"/>
  <c r="AM58" i="23"/>
  <c r="AO57" i="23"/>
  <c r="D57" i="23"/>
  <c r="F56" i="23"/>
  <c r="Z57" i="23"/>
  <c r="X58" i="23"/>
  <c r="AH57" i="23"/>
  <c r="AJ56" i="23"/>
  <c r="AW19" i="23"/>
  <c r="AY18" i="23"/>
  <c r="AR19" i="23"/>
  <c r="AT18" i="23"/>
  <c r="AM18" i="23"/>
  <c r="AO17" i="23"/>
  <c r="AH19" i="23"/>
  <c r="AJ18" i="23"/>
  <c r="X19" i="23"/>
  <c r="Z18" i="23"/>
  <c r="S19" i="23"/>
  <c r="U18" i="23"/>
  <c r="D18" i="23"/>
  <c r="F17" i="23"/>
  <c r="D44" i="6"/>
  <c r="P44" i="6"/>
  <c r="U44" i="6"/>
  <c r="B44" i="6"/>
  <c r="K44" i="6"/>
  <c r="G44" i="6"/>
  <c r="N44" i="6"/>
  <c r="M44" i="6"/>
  <c r="E44" i="6"/>
  <c r="T44" i="6"/>
  <c r="Q44" i="6"/>
  <c r="R44" i="6"/>
  <c r="S44" i="6"/>
  <c r="C44" i="6"/>
  <c r="J44" i="6"/>
  <c r="H44" i="6"/>
  <c r="I44" i="6"/>
  <c r="F44" i="6"/>
  <c r="O44" i="6"/>
  <c r="L44" i="6"/>
  <c r="N19" i="23" l="1"/>
  <c r="P18" i="23"/>
  <c r="I20" i="23"/>
  <c r="K19" i="23"/>
  <c r="AO58" i="23"/>
  <c r="AM59" i="23"/>
  <c r="F57" i="23"/>
  <c r="D58" i="23"/>
  <c r="AE57" i="23"/>
  <c r="AC58" i="23"/>
  <c r="AT59" i="23"/>
  <c r="AR60" i="23"/>
  <c r="I58" i="23"/>
  <c r="K57" i="23"/>
  <c r="S59" i="23"/>
  <c r="U58" i="23"/>
  <c r="N58" i="23"/>
  <c r="P57" i="23"/>
  <c r="AH58" i="23"/>
  <c r="AJ57" i="23"/>
  <c r="X59" i="23"/>
  <c r="Z58" i="23"/>
  <c r="AY57" i="23"/>
  <c r="AW58" i="23"/>
  <c r="AW20" i="23"/>
  <c r="AY19" i="23"/>
  <c r="AR20" i="23"/>
  <c r="AT19" i="23"/>
  <c r="AM19" i="23"/>
  <c r="AO18" i="23"/>
  <c r="AH20" i="23"/>
  <c r="AJ19" i="23"/>
  <c r="X20" i="23"/>
  <c r="Z19" i="23"/>
  <c r="S20" i="23"/>
  <c r="U19" i="23"/>
  <c r="F18" i="23"/>
  <c r="D19" i="23"/>
  <c r="U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B40" i="6"/>
  <c r="N20" i="23" l="1"/>
  <c r="P19" i="23"/>
  <c r="I21" i="23"/>
  <c r="K20" i="23"/>
  <c r="AJ58" i="23"/>
  <c r="AH59" i="23"/>
  <c r="N59" i="23"/>
  <c r="P58" i="23"/>
  <c r="S60" i="23"/>
  <c r="U59" i="23"/>
  <c r="I59" i="23"/>
  <c r="K58" i="23"/>
  <c r="AR61" i="23"/>
  <c r="AT60" i="23"/>
  <c r="AC59" i="23"/>
  <c r="AE58" i="23"/>
  <c r="AW59" i="23"/>
  <c r="AY58" i="23"/>
  <c r="D59" i="23"/>
  <c r="F58" i="23"/>
  <c r="AM60" i="23"/>
  <c r="AO59" i="23"/>
  <c r="Z59" i="23"/>
  <c r="X60" i="23"/>
  <c r="AW21" i="23"/>
  <c r="AY20" i="23"/>
  <c r="AR21" i="23"/>
  <c r="AT20" i="23"/>
  <c r="AM20" i="23"/>
  <c r="AO19" i="23"/>
  <c r="AH21" i="23"/>
  <c r="AJ20" i="23"/>
  <c r="X21" i="23"/>
  <c r="Z20" i="23"/>
  <c r="S21" i="23"/>
  <c r="U20" i="23"/>
  <c r="F19" i="23"/>
  <c r="D20" i="23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D41" i="8"/>
  <c r="C41" i="8"/>
  <c r="B41" i="8"/>
  <c r="N21" i="23" l="1"/>
  <c r="P20" i="23"/>
  <c r="I22" i="23"/>
  <c r="K21" i="23"/>
  <c r="AT61" i="23"/>
  <c r="AR62" i="23"/>
  <c r="F59" i="23"/>
  <c r="D60" i="23"/>
  <c r="AE59" i="23"/>
  <c r="AC60" i="23"/>
  <c r="I60" i="23"/>
  <c r="K59" i="23"/>
  <c r="S61" i="23"/>
  <c r="U60" i="23"/>
  <c r="X61" i="23"/>
  <c r="Z60" i="23"/>
  <c r="N60" i="23"/>
  <c r="P59" i="23"/>
  <c r="AH60" i="23"/>
  <c r="AJ59" i="23"/>
  <c r="AW60" i="23"/>
  <c r="AY59" i="23"/>
  <c r="AO60" i="23"/>
  <c r="AM61" i="23"/>
  <c r="AW22" i="23"/>
  <c r="AY21" i="23"/>
  <c r="AR22" i="23"/>
  <c r="AT21" i="23"/>
  <c r="AM21" i="23"/>
  <c r="AO20" i="23"/>
  <c r="AH22" i="23"/>
  <c r="AJ21" i="23"/>
  <c r="X22" i="23"/>
  <c r="Z21" i="23"/>
  <c r="S22" i="23"/>
  <c r="U21" i="23"/>
  <c r="D21" i="23"/>
  <c r="F20" i="23"/>
  <c r="F48" i="8"/>
  <c r="H48" i="8"/>
  <c r="J48" i="8"/>
  <c r="L48" i="8"/>
  <c r="N48" i="8"/>
  <c r="P48" i="8"/>
  <c r="R48" i="8"/>
  <c r="T48" i="8"/>
  <c r="D48" i="8"/>
  <c r="B48" i="8"/>
  <c r="B45" i="8"/>
  <c r="D55" i="8"/>
  <c r="E55" i="8" s="1"/>
  <c r="F55" i="8"/>
  <c r="G55" i="8" s="1"/>
  <c r="H55" i="8"/>
  <c r="I55" i="8" s="1"/>
  <c r="J55" i="8"/>
  <c r="K55" i="8" s="1"/>
  <c r="L55" i="8"/>
  <c r="M55" i="8" s="1"/>
  <c r="N55" i="8"/>
  <c r="O55" i="8" s="1"/>
  <c r="P55" i="8"/>
  <c r="Q55" i="8" s="1"/>
  <c r="R55" i="8"/>
  <c r="S55" i="8" s="1"/>
  <c r="T55" i="8"/>
  <c r="U55" i="8" s="1"/>
  <c r="N22" i="23" l="1"/>
  <c r="P21" i="23"/>
  <c r="I23" i="23"/>
  <c r="K22" i="23"/>
  <c r="S62" i="23"/>
  <c r="U61" i="23"/>
  <c r="P60" i="23"/>
  <c r="N61" i="23"/>
  <c r="Z61" i="23"/>
  <c r="X62" i="23"/>
  <c r="AR63" i="23"/>
  <c r="AT62" i="23"/>
  <c r="AJ60" i="23"/>
  <c r="AH61" i="23"/>
  <c r="I61" i="23"/>
  <c r="K60" i="23"/>
  <c r="AC61" i="23"/>
  <c r="AE60" i="23"/>
  <c r="AM62" i="23"/>
  <c r="AO61" i="23"/>
  <c r="D61" i="23"/>
  <c r="F60" i="23"/>
  <c r="AW61" i="23"/>
  <c r="AY60" i="23"/>
  <c r="AW23" i="23"/>
  <c r="AY22" i="23"/>
  <c r="AR23" i="23"/>
  <c r="AT22" i="23"/>
  <c r="AM22" i="23"/>
  <c r="AO21" i="23"/>
  <c r="AH23" i="23"/>
  <c r="AJ22" i="23"/>
  <c r="X23" i="23"/>
  <c r="Z22" i="23"/>
  <c r="S23" i="23"/>
  <c r="U22" i="23"/>
  <c r="F21" i="23"/>
  <c r="D22" i="23"/>
  <c r="B55" i="8"/>
  <c r="C55" i="8" s="1"/>
  <c r="D54" i="8"/>
  <c r="E54" i="8" s="1"/>
  <c r="F54" i="8"/>
  <c r="G54" i="8" s="1"/>
  <c r="H54" i="8"/>
  <c r="I54" i="8" s="1"/>
  <c r="J54" i="8"/>
  <c r="K54" i="8" s="1"/>
  <c r="L54" i="8"/>
  <c r="M54" i="8" s="1"/>
  <c r="N54" i="8"/>
  <c r="O54" i="8" s="1"/>
  <c r="P54" i="8"/>
  <c r="Q54" i="8" s="1"/>
  <c r="R54" i="8"/>
  <c r="S54" i="8" s="1"/>
  <c r="T54" i="8"/>
  <c r="U54" i="8" s="1"/>
  <c r="B54" i="8"/>
  <c r="C54" i="8" s="1"/>
  <c r="D53" i="8"/>
  <c r="E53" i="8" s="1"/>
  <c r="F53" i="8"/>
  <c r="G53" i="8" s="1"/>
  <c r="H53" i="8"/>
  <c r="I53" i="8" s="1"/>
  <c r="J53" i="8"/>
  <c r="K53" i="8" s="1"/>
  <c r="L53" i="8"/>
  <c r="M53" i="8" s="1"/>
  <c r="N53" i="8"/>
  <c r="O53" i="8" s="1"/>
  <c r="P53" i="8"/>
  <c r="Q53" i="8" s="1"/>
  <c r="R53" i="8"/>
  <c r="S53" i="8" s="1"/>
  <c r="T53" i="8"/>
  <c r="U53" i="8" s="1"/>
  <c r="B53" i="8"/>
  <c r="C53" i="8" s="1"/>
  <c r="N23" i="23" l="1"/>
  <c r="P22" i="23"/>
  <c r="I24" i="23"/>
  <c r="K23" i="23"/>
  <c r="AM63" i="23"/>
  <c r="AO62" i="23"/>
  <c r="I62" i="23"/>
  <c r="K61" i="23"/>
  <c r="AE61" i="23"/>
  <c r="AC62" i="23"/>
  <c r="AH62" i="23"/>
  <c r="AJ61" i="23"/>
  <c r="AT63" i="23"/>
  <c r="AR64" i="23"/>
  <c r="X63" i="23"/>
  <c r="Z62" i="23"/>
  <c r="N62" i="23"/>
  <c r="P61" i="23"/>
  <c r="AW62" i="23"/>
  <c r="AY61" i="23"/>
  <c r="F61" i="23"/>
  <c r="D62" i="23"/>
  <c r="U62" i="23"/>
  <c r="S63" i="23"/>
  <c r="AW24" i="23"/>
  <c r="AY23" i="23"/>
  <c r="AR24" i="23"/>
  <c r="AT23" i="23"/>
  <c r="AM23" i="23"/>
  <c r="AO22" i="23"/>
  <c r="AH24" i="23"/>
  <c r="AJ23" i="23"/>
  <c r="X24" i="23"/>
  <c r="Z23" i="23"/>
  <c r="S24" i="23"/>
  <c r="U23" i="23"/>
  <c r="F22" i="23"/>
  <c r="D23" i="23"/>
  <c r="D66" i="11"/>
  <c r="F66" i="11"/>
  <c r="H66" i="11"/>
  <c r="J66" i="11"/>
  <c r="L66" i="11"/>
  <c r="N66" i="11"/>
  <c r="P66" i="11"/>
  <c r="R66" i="11"/>
  <c r="T66" i="11"/>
  <c r="B66" i="11"/>
  <c r="N24" i="23" l="1"/>
  <c r="P23" i="23"/>
  <c r="I25" i="23"/>
  <c r="K24" i="23"/>
  <c r="Z63" i="23"/>
  <c r="X64" i="23"/>
  <c r="AJ62" i="23"/>
  <c r="AH63" i="23"/>
  <c r="D63" i="23"/>
  <c r="F62" i="23"/>
  <c r="AW63" i="23"/>
  <c r="AY62" i="23"/>
  <c r="P62" i="23"/>
  <c r="N63" i="23"/>
  <c r="AR65" i="23"/>
  <c r="AT64" i="23"/>
  <c r="AC63" i="23"/>
  <c r="AE62" i="23"/>
  <c r="S64" i="23"/>
  <c r="U63" i="23"/>
  <c r="I63" i="23"/>
  <c r="K62" i="23"/>
  <c r="AM64" i="23"/>
  <c r="AO63" i="23"/>
  <c r="AW25" i="23"/>
  <c r="AY24" i="23"/>
  <c r="AR25" i="23"/>
  <c r="AT24" i="23"/>
  <c r="AM24" i="23"/>
  <c r="AO23" i="23"/>
  <c r="AH25" i="23"/>
  <c r="AJ24" i="23"/>
  <c r="X25" i="23"/>
  <c r="Z24" i="23"/>
  <c r="S25" i="23"/>
  <c r="U24" i="23"/>
  <c r="D24" i="23"/>
  <c r="F23" i="23"/>
  <c r="F38" i="11"/>
  <c r="H38" i="11"/>
  <c r="J38" i="11"/>
  <c r="L38" i="11"/>
  <c r="N38" i="11"/>
  <c r="P38" i="11"/>
  <c r="R38" i="11"/>
  <c r="T38" i="11"/>
  <c r="D38" i="11"/>
  <c r="B38" i="11"/>
  <c r="N25" i="23" l="1"/>
  <c r="P24" i="23"/>
  <c r="I26" i="23"/>
  <c r="K25" i="23"/>
  <c r="U64" i="23"/>
  <c r="S65" i="23"/>
  <c r="AE63" i="23"/>
  <c r="AC64" i="23"/>
  <c r="AT65" i="23"/>
  <c r="AR66" i="23"/>
  <c r="N64" i="23"/>
  <c r="P63" i="23"/>
  <c r="AW64" i="23"/>
  <c r="AY63" i="23"/>
  <c r="F63" i="23"/>
  <c r="D64" i="23"/>
  <c r="AH64" i="23"/>
  <c r="AJ63" i="23"/>
  <c r="AM65" i="23"/>
  <c r="AO64" i="23"/>
  <c r="X65" i="23"/>
  <c r="Z64" i="23"/>
  <c r="K63" i="23"/>
  <c r="I64" i="23"/>
  <c r="AW26" i="23"/>
  <c r="AY25" i="23"/>
  <c r="AR26" i="23"/>
  <c r="AT25" i="23"/>
  <c r="AM25" i="23"/>
  <c r="AO24" i="23"/>
  <c r="AH26" i="23"/>
  <c r="AJ25" i="23"/>
  <c r="X26" i="23"/>
  <c r="Z25" i="23"/>
  <c r="S26" i="23"/>
  <c r="U25" i="23"/>
  <c r="F24" i="23"/>
  <c r="D25" i="23"/>
  <c r="B39" i="6"/>
  <c r="N26" i="23" l="1"/>
  <c r="P25" i="23"/>
  <c r="I27" i="23"/>
  <c r="K26" i="23"/>
  <c r="AM66" i="23"/>
  <c r="AO65" i="23"/>
  <c r="AJ64" i="23"/>
  <c r="AH65" i="23"/>
  <c r="AW65" i="23"/>
  <c r="AY64" i="23"/>
  <c r="I65" i="23"/>
  <c r="K64" i="23"/>
  <c r="S66" i="23"/>
  <c r="U65" i="23"/>
  <c r="D65" i="23"/>
  <c r="F64" i="23"/>
  <c r="P64" i="23"/>
  <c r="N65" i="23"/>
  <c r="AR67" i="23"/>
  <c r="AT66" i="23"/>
  <c r="AC65" i="23"/>
  <c r="AE64" i="23"/>
  <c r="Z65" i="23"/>
  <c r="X66" i="23"/>
  <c r="AW27" i="23"/>
  <c r="AY26" i="23"/>
  <c r="AR27" i="23"/>
  <c r="AT26" i="23"/>
  <c r="AM26" i="23"/>
  <c r="AO25" i="23"/>
  <c r="AH27" i="23"/>
  <c r="AJ26" i="23"/>
  <c r="X27" i="23"/>
  <c r="Z26" i="23"/>
  <c r="S27" i="23"/>
  <c r="U26" i="23"/>
  <c r="F25" i="23"/>
  <c r="D26" i="23"/>
  <c r="AO3" i="7"/>
  <c r="AK3" i="7"/>
  <c r="AG3" i="7"/>
  <c r="AC3" i="7"/>
  <c r="Y3" i="7"/>
  <c r="U3" i="7"/>
  <c r="Q3" i="7"/>
  <c r="N40" i="7" s="1"/>
  <c r="E36" i="10" s="1"/>
  <c r="M3" i="7"/>
  <c r="I3" i="7"/>
  <c r="E3" i="7"/>
  <c r="N27" i="23" l="1"/>
  <c r="P26" i="23"/>
  <c r="I28" i="23"/>
  <c r="K27" i="23"/>
  <c r="S67" i="23"/>
  <c r="U66" i="23"/>
  <c r="AT67" i="23"/>
  <c r="AR68" i="23"/>
  <c r="N66" i="23"/>
  <c r="P65" i="23"/>
  <c r="F65" i="23"/>
  <c r="D66" i="23"/>
  <c r="K65" i="23"/>
  <c r="I66" i="23"/>
  <c r="AY65" i="23"/>
  <c r="AW66" i="23"/>
  <c r="X67" i="23"/>
  <c r="Z66" i="23"/>
  <c r="AH66" i="23"/>
  <c r="AJ65" i="23"/>
  <c r="AC66" i="23"/>
  <c r="AE65" i="23"/>
  <c r="AO66" i="23"/>
  <c r="AM67" i="23"/>
  <c r="AW28" i="23"/>
  <c r="AY27" i="23"/>
  <c r="AR28" i="23"/>
  <c r="AT27" i="23"/>
  <c r="AM27" i="23"/>
  <c r="AO26" i="23"/>
  <c r="AH28" i="23"/>
  <c r="AJ27" i="23"/>
  <c r="X28" i="23"/>
  <c r="Z27" i="23"/>
  <c r="S28" i="23"/>
  <c r="U27" i="23"/>
  <c r="F26" i="23"/>
  <c r="D27" i="23"/>
  <c r="D41" i="10"/>
  <c r="D40" i="10"/>
  <c r="D42" i="10"/>
  <c r="K42" i="10"/>
  <c r="K41" i="10"/>
  <c r="K40" i="10"/>
  <c r="J40" i="10"/>
  <c r="J41" i="10"/>
  <c r="J42" i="10"/>
  <c r="I42" i="10"/>
  <c r="I41" i="10"/>
  <c r="I40" i="10"/>
  <c r="H40" i="10"/>
  <c r="H41" i="10"/>
  <c r="H42" i="10"/>
  <c r="G40" i="10"/>
  <c r="G42" i="10"/>
  <c r="G41" i="10"/>
  <c r="F41" i="10"/>
  <c r="F40" i="10"/>
  <c r="F42" i="10"/>
  <c r="E42" i="10"/>
  <c r="E40" i="10"/>
  <c r="E41" i="10"/>
  <c r="C41" i="10"/>
  <c r="C40" i="10"/>
  <c r="C42" i="10"/>
  <c r="B40" i="10"/>
  <c r="B42" i="10"/>
  <c r="B41" i="10"/>
  <c r="F45" i="8"/>
  <c r="H45" i="8"/>
  <c r="J45" i="8"/>
  <c r="L45" i="8"/>
  <c r="N45" i="8"/>
  <c r="R45" i="8"/>
  <c r="T45" i="8"/>
  <c r="D45" i="8"/>
  <c r="N28" i="23" l="1"/>
  <c r="P27" i="23"/>
  <c r="I29" i="23"/>
  <c r="K28" i="23"/>
  <c r="Z67" i="23"/>
  <c r="X68" i="23"/>
  <c r="AJ66" i="23"/>
  <c r="AH67" i="23"/>
  <c r="AW67" i="23"/>
  <c r="AY66" i="23"/>
  <c r="I67" i="23"/>
  <c r="K66" i="23"/>
  <c r="D67" i="23"/>
  <c r="F66" i="23"/>
  <c r="P66" i="23"/>
  <c r="N67" i="23"/>
  <c r="AM68" i="23"/>
  <c r="AO67" i="23"/>
  <c r="AR69" i="23"/>
  <c r="AT68" i="23"/>
  <c r="AC67" i="23"/>
  <c r="AE66" i="23"/>
  <c r="S68" i="23"/>
  <c r="U67" i="23"/>
  <c r="AW29" i="23"/>
  <c r="AY28" i="23"/>
  <c r="AR29" i="23"/>
  <c r="AT28" i="23"/>
  <c r="AM28" i="23"/>
  <c r="AO27" i="23"/>
  <c r="AH29" i="23"/>
  <c r="AJ28" i="23"/>
  <c r="X29" i="23"/>
  <c r="Z28" i="23"/>
  <c r="S29" i="23"/>
  <c r="U28" i="23"/>
  <c r="D28" i="23"/>
  <c r="F27" i="23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B39" i="8"/>
  <c r="N29" i="23" l="1"/>
  <c r="P28" i="23"/>
  <c r="I30" i="23"/>
  <c r="K29" i="23"/>
  <c r="AT69" i="23"/>
  <c r="AR70" i="23"/>
  <c r="AM69" i="23"/>
  <c r="AO68" i="23"/>
  <c r="I68" i="23"/>
  <c r="K67" i="23"/>
  <c r="X69" i="23"/>
  <c r="Z68" i="23"/>
  <c r="N68" i="23"/>
  <c r="P67" i="23"/>
  <c r="F67" i="23"/>
  <c r="D68" i="23"/>
  <c r="AW68" i="23"/>
  <c r="AY67" i="23"/>
  <c r="AH68" i="23"/>
  <c r="AJ67" i="23"/>
  <c r="U68" i="23"/>
  <c r="S69" i="23"/>
  <c r="AE67" i="23"/>
  <c r="AC68" i="23"/>
  <c r="AW30" i="23"/>
  <c r="AY29" i="23"/>
  <c r="AR30" i="23"/>
  <c r="AT29" i="23"/>
  <c r="AM29" i="23"/>
  <c r="AO28" i="23"/>
  <c r="AH30" i="23"/>
  <c r="AJ29" i="23"/>
  <c r="X30" i="23"/>
  <c r="Z29" i="23"/>
  <c r="S30" i="23"/>
  <c r="U29" i="23"/>
  <c r="D29" i="23"/>
  <c r="F28" i="23"/>
  <c r="O99" i="9"/>
  <c r="O102" i="9"/>
  <c r="O101" i="9"/>
  <c r="O100" i="9"/>
  <c r="O103" i="9"/>
  <c r="O96" i="9"/>
  <c r="O105" i="9"/>
  <c r="O98" i="9"/>
  <c r="O97" i="9"/>
  <c r="O104" i="9"/>
  <c r="I97" i="9"/>
  <c r="I102" i="9"/>
  <c r="I103" i="9"/>
  <c r="I101" i="9"/>
  <c r="I105" i="9"/>
  <c r="I98" i="9"/>
  <c r="I104" i="9"/>
  <c r="I99" i="9"/>
  <c r="I96" i="9"/>
  <c r="I100" i="9"/>
  <c r="B40" i="7"/>
  <c r="B36" i="10" s="1"/>
  <c r="V40" i="7"/>
  <c r="G36" i="10" s="1"/>
  <c r="Z40" i="7"/>
  <c r="H36" i="10" s="1"/>
  <c r="AD40" i="7"/>
  <c r="I36" i="10" s="1"/>
  <c r="AH40" i="7"/>
  <c r="J36" i="10" s="1"/>
  <c r="AL40" i="7"/>
  <c r="K36" i="10" s="1"/>
  <c r="J40" i="7"/>
  <c r="D36" i="10" s="1"/>
  <c r="F40" i="7"/>
  <c r="C36" i="10" s="1"/>
  <c r="R40" i="7"/>
  <c r="F36" i="10" s="1"/>
  <c r="D39" i="6"/>
  <c r="E39" i="6"/>
  <c r="AH2" i="15" s="1"/>
  <c r="E41" i="19" s="1"/>
  <c r="F39" i="6"/>
  <c r="G39" i="6"/>
  <c r="AH11" i="15" s="1"/>
  <c r="H41" i="19" s="1"/>
  <c r="H39" i="6"/>
  <c r="I39" i="6"/>
  <c r="AH3" i="15" s="1"/>
  <c r="K41" i="19" s="1"/>
  <c r="J39" i="6"/>
  <c r="K39" i="6"/>
  <c r="AH4" i="15" s="1"/>
  <c r="N41" i="19" s="1"/>
  <c r="L39" i="6"/>
  <c r="M39" i="6"/>
  <c r="AH5" i="15" s="1"/>
  <c r="Q41" i="19" s="1"/>
  <c r="N39" i="6"/>
  <c r="O39" i="6"/>
  <c r="AH7" i="15" s="1"/>
  <c r="T41" i="19" s="1"/>
  <c r="P39" i="6"/>
  <c r="Q39" i="6"/>
  <c r="AH6" i="15" s="1"/>
  <c r="W41" i="19" s="1"/>
  <c r="R39" i="6"/>
  <c r="S39" i="6"/>
  <c r="AH8" i="15" s="1"/>
  <c r="Z41" i="19" s="1"/>
  <c r="T39" i="6"/>
  <c r="U39" i="6"/>
  <c r="AH9" i="15" s="1"/>
  <c r="AC41" i="19" s="1"/>
  <c r="C39" i="6"/>
  <c r="AH10" i="15" s="1"/>
  <c r="B41" i="19" s="1"/>
  <c r="N30" i="23" l="1"/>
  <c r="P29" i="23"/>
  <c r="I31" i="23"/>
  <c r="K30" i="23"/>
  <c r="AW69" i="23"/>
  <c r="AY68" i="23"/>
  <c r="AM70" i="23"/>
  <c r="AO69" i="23"/>
  <c r="AJ68" i="23"/>
  <c r="AH69" i="23"/>
  <c r="D69" i="23"/>
  <c r="F68" i="23"/>
  <c r="P68" i="23"/>
  <c r="N69" i="23"/>
  <c r="Z69" i="23"/>
  <c r="X70" i="23"/>
  <c r="I69" i="23"/>
  <c r="K68" i="23"/>
  <c r="AC69" i="23"/>
  <c r="AE68" i="23"/>
  <c r="S70" i="23"/>
  <c r="U69" i="23"/>
  <c r="AR71" i="23"/>
  <c r="AT70" i="23"/>
  <c r="AW31" i="23"/>
  <c r="AY30" i="23"/>
  <c r="AR31" i="23"/>
  <c r="AT30" i="23"/>
  <c r="AM30" i="23"/>
  <c r="AO29" i="23"/>
  <c r="AH31" i="23"/>
  <c r="AJ30" i="23"/>
  <c r="X31" i="23"/>
  <c r="Z30" i="23"/>
  <c r="S31" i="23"/>
  <c r="U30" i="23"/>
  <c r="D30" i="23"/>
  <c r="F29" i="23"/>
  <c r="J41" i="7"/>
  <c r="C97" i="9" s="1"/>
  <c r="R41" i="7"/>
  <c r="C96" i="9" s="1"/>
  <c r="N41" i="7"/>
  <c r="C103" i="9" s="1"/>
  <c r="AH41" i="7"/>
  <c r="C102" i="9" s="1"/>
  <c r="B41" i="7"/>
  <c r="C104" i="9" s="1"/>
  <c r="Z41" i="7"/>
  <c r="C100" i="9" s="1"/>
  <c r="F41" i="7"/>
  <c r="C98" i="9" s="1"/>
  <c r="AL41" i="7"/>
  <c r="C99" i="9" s="1"/>
  <c r="V41" i="7"/>
  <c r="C105" i="9" s="1"/>
  <c r="AD41" i="7"/>
  <c r="C101" i="9" s="1"/>
  <c r="B5" i="4"/>
  <c r="B6" i="4"/>
  <c r="AC5" i="4"/>
  <c r="AC6" i="4"/>
  <c r="AC10" i="4"/>
  <c r="AC11" i="4"/>
  <c r="AC12" i="4"/>
  <c r="AC13" i="4"/>
  <c r="AC14" i="4"/>
  <c r="AC15" i="4"/>
  <c r="AC16" i="4"/>
  <c r="AC20" i="4"/>
  <c r="AC21" i="4"/>
  <c r="AC22" i="4"/>
  <c r="AC23" i="4"/>
  <c r="AC24" i="4"/>
  <c r="AC25" i="4"/>
  <c r="AC26" i="4"/>
  <c r="AC30" i="4"/>
  <c r="AC31" i="4"/>
  <c r="AC32" i="4"/>
  <c r="AC33" i="4"/>
  <c r="AC34" i="4"/>
  <c r="AC29" i="4"/>
  <c r="AC19" i="4"/>
  <c r="AC9" i="4"/>
  <c r="AC4" i="4"/>
  <c r="T5" i="4"/>
  <c r="T6" i="4"/>
  <c r="W5" i="4"/>
  <c r="W6" i="4"/>
  <c r="Z5" i="4"/>
  <c r="Z6" i="4"/>
  <c r="Z10" i="4"/>
  <c r="Z11" i="4"/>
  <c r="Z12" i="4"/>
  <c r="Z13" i="4"/>
  <c r="Z14" i="4"/>
  <c r="Z15" i="4"/>
  <c r="Z16" i="4"/>
  <c r="W10" i="4"/>
  <c r="W11" i="4"/>
  <c r="W12" i="4"/>
  <c r="W13" i="4"/>
  <c r="W14" i="4"/>
  <c r="W15" i="4"/>
  <c r="W16" i="4"/>
  <c r="T10" i="4"/>
  <c r="T11" i="4"/>
  <c r="T12" i="4"/>
  <c r="T13" i="4"/>
  <c r="T14" i="4"/>
  <c r="T15" i="4"/>
  <c r="T16" i="4"/>
  <c r="T20" i="4"/>
  <c r="T21" i="4"/>
  <c r="T22" i="4"/>
  <c r="T23" i="4"/>
  <c r="T24" i="4"/>
  <c r="T25" i="4"/>
  <c r="T26" i="4"/>
  <c r="W20" i="4"/>
  <c r="W21" i="4"/>
  <c r="W22" i="4"/>
  <c r="W23" i="4"/>
  <c r="W24" i="4"/>
  <c r="W25" i="4"/>
  <c r="W26" i="4"/>
  <c r="Z20" i="4"/>
  <c r="Z21" i="4"/>
  <c r="Z22" i="4"/>
  <c r="Z23" i="4"/>
  <c r="Z24" i="4"/>
  <c r="Z25" i="4"/>
  <c r="Z26" i="4"/>
  <c r="Z30" i="4"/>
  <c r="Z31" i="4"/>
  <c r="Z32" i="4"/>
  <c r="Z33" i="4"/>
  <c r="Z34" i="4"/>
  <c r="W30" i="4"/>
  <c r="W31" i="4"/>
  <c r="W32" i="4"/>
  <c r="W33" i="4"/>
  <c r="W34" i="4"/>
  <c r="T30" i="4"/>
  <c r="T31" i="4"/>
  <c r="T32" i="4"/>
  <c r="T33" i="4"/>
  <c r="T34" i="4"/>
  <c r="Z29" i="4"/>
  <c r="W29" i="4"/>
  <c r="T29" i="4"/>
  <c r="Z19" i="4"/>
  <c r="W19" i="4"/>
  <c r="T19" i="4"/>
  <c r="Z9" i="4"/>
  <c r="W9" i="4"/>
  <c r="T9" i="4"/>
  <c r="Z4" i="4"/>
  <c r="W4" i="4"/>
  <c r="T4" i="4"/>
  <c r="Q5" i="4"/>
  <c r="Q6" i="4"/>
  <c r="N5" i="4"/>
  <c r="N6" i="4"/>
  <c r="N10" i="4"/>
  <c r="N11" i="4"/>
  <c r="N12" i="4"/>
  <c r="N13" i="4"/>
  <c r="N14" i="4"/>
  <c r="N15" i="4"/>
  <c r="N16" i="4"/>
  <c r="Q10" i="4"/>
  <c r="Q11" i="4"/>
  <c r="Q12" i="4"/>
  <c r="Q13" i="4"/>
  <c r="Q14" i="4"/>
  <c r="Q15" i="4"/>
  <c r="Q16" i="4"/>
  <c r="Q20" i="4"/>
  <c r="Q21" i="4"/>
  <c r="Q22" i="4"/>
  <c r="Q23" i="4"/>
  <c r="Q24" i="4"/>
  <c r="Q25" i="4"/>
  <c r="Q26" i="4"/>
  <c r="N20" i="4"/>
  <c r="N21" i="4"/>
  <c r="N22" i="4"/>
  <c r="N23" i="4"/>
  <c r="N24" i="4"/>
  <c r="N25" i="4"/>
  <c r="N26" i="4"/>
  <c r="N30" i="4"/>
  <c r="N31" i="4"/>
  <c r="N32" i="4"/>
  <c r="N33" i="4"/>
  <c r="N34" i="4"/>
  <c r="Q30" i="4"/>
  <c r="Q31" i="4"/>
  <c r="Q32" i="4"/>
  <c r="Q33" i="4"/>
  <c r="Q34" i="4"/>
  <c r="Q29" i="4"/>
  <c r="N29" i="4"/>
  <c r="Q19" i="4"/>
  <c r="N19" i="4"/>
  <c r="Q9" i="4"/>
  <c r="N9" i="4"/>
  <c r="Q4" i="4"/>
  <c r="N4" i="4"/>
  <c r="K30" i="4"/>
  <c r="K31" i="4"/>
  <c r="K32" i="4"/>
  <c r="K33" i="4"/>
  <c r="K34" i="4"/>
  <c r="K20" i="4"/>
  <c r="K21" i="4"/>
  <c r="K22" i="4"/>
  <c r="K23" i="4"/>
  <c r="K24" i="4"/>
  <c r="K25" i="4"/>
  <c r="K26" i="4"/>
  <c r="K27" i="4"/>
  <c r="K10" i="4"/>
  <c r="K11" i="4"/>
  <c r="K12" i="4"/>
  <c r="K13" i="4"/>
  <c r="K14" i="4"/>
  <c r="K15" i="4"/>
  <c r="K16" i="4"/>
  <c r="K5" i="4"/>
  <c r="K6" i="4"/>
  <c r="K29" i="4"/>
  <c r="K19" i="4"/>
  <c r="K9" i="4"/>
  <c r="K4" i="4"/>
  <c r="H30" i="4"/>
  <c r="H31" i="4"/>
  <c r="H32" i="4"/>
  <c r="H33" i="4"/>
  <c r="H34" i="4"/>
  <c r="H20" i="4"/>
  <c r="H21" i="4"/>
  <c r="H22" i="4"/>
  <c r="H23" i="4"/>
  <c r="H24" i="4"/>
  <c r="H25" i="4"/>
  <c r="H26" i="4"/>
  <c r="H10" i="4"/>
  <c r="H11" i="4"/>
  <c r="H12" i="4"/>
  <c r="H13" i="4"/>
  <c r="H14" i="4"/>
  <c r="H15" i="4"/>
  <c r="H16" i="4"/>
  <c r="H5" i="4"/>
  <c r="H6" i="4"/>
  <c r="H4" i="4"/>
  <c r="H9" i="4"/>
  <c r="H19" i="4"/>
  <c r="H29" i="4"/>
  <c r="E20" i="4"/>
  <c r="E21" i="4"/>
  <c r="E22" i="4"/>
  <c r="E23" i="4"/>
  <c r="E24" i="4"/>
  <c r="E25" i="4"/>
  <c r="E26" i="4"/>
  <c r="E30" i="4"/>
  <c r="E31" i="4"/>
  <c r="E32" i="4"/>
  <c r="E33" i="4"/>
  <c r="E34" i="4"/>
  <c r="E29" i="4"/>
  <c r="E19" i="4"/>
  <c r="E10" i="4"/>
  <c r="E11" i="4"/>
  <c r="E12" i="4"/>
  <c r="E13" i="4"/>
  <c r="E14" i="4"/>
  <c r="E15" i="4"/>
  <c r="E16" i="4"/>
  <c r="E9" i="4"/>
  <c r="E5" i="4"/>
  <c r="E6" i="4"/>
  <c r="E4" i="4"/>
  <c r="AD17" i="4"/>
  <c r="AC17" i="4" s="1"/>
  <c r="AA17" i="4"/>
  <c r="Z17" i="4" s="1"/>
  <c r="X17" i="4"/>
  <c r="W17" i="4" s="1"/>
  <c r="U17" i="4"/>
  <c r="T17" i="4" s="1"/>
  <c r="R17" i="4"/>
  <c r="Q17" i="4" s="1"/>
  <c r="O17" i="4"/>
  <c r="N17" i="4" s="1"/>
  <c r="L17" i="4"/>
  <c r="K17" i="4" s="1"/>
  <c r="I17" i="4"/>
  <c r="H17" i="4" s="1"/>
  <c r="F17" i="4"/>
  <c r="E17" i="4" s="1"/>
  <c r="C27" i="4"/>
  <c r="B27" i="4" s="1"/>
  <c r="F27" i="4"/>
  <c r="E27" i="4" s="1"/>
  <c r="I27" i="4"/>
  <c r="H27" i="4" s="1"/>
  <c r="L27" i="4"/>
  <c r="O27" i="4"/>
  <c r="N27" i="4" s="1"/>
  <c r="R27" i="4"/>
  <c r="Q27" i="4" s="1"/>
  <c r="U27" i="4"/>
  <c r="T27" i="4" s="1"/>
  <c r="X27" i="4"/>
  <c r="W27" i="4" s="1"/>
  <c r="AA27" i="4"/>
  <c r="Z27" i="4" s="1"/>
  <c r="AD27" i="4"/>
  <c r="AC27" i="4" s="1"/>
  <c r="AD35" i="4"/>
  <c r="AC35" i="4" s="1"/>
  <c r="AA35" i="4"/>
  <c r="Z35" i="4" s="1"/>
  <c r="X35" i="4"/>
  <c r="W35" i="4" s="1"/>
  <c r="U35" i="4"/>
  <c r="T35" i="4" s="1"/>
  <c r="R35" i="4"/>
  <c r="Q35" i="4" s="1"/>
  <c r="O35" i="4"/>
  <c r="N35" i="4" s="1"/>
  <c r="L35" i="4"/>
  <c r="K35" i="4" s="1"/>
  <c r="I35" i="4"/>
  <c r="H35" i="4" s="1"/>
  <c r="F35" i="4"/>
  <c r="E35" i="4" s="1"/>
  <c r="C35" i="4"/>
  <c r="B35" i="4" s="1"/>
  <c r="C17" i="4"/>
  <c r="B17" i="4" s="1"/>
  <c r="B40" i="4"/>
  <c r="B30" i="4"/>
  <c r="B31" i="4"/>
  <c r="B32" i="4"/>
  <c r="B33" i="4"/>
  <c r="B34" i="4"/>
  <c r="B29" i="4"/>
  <c r="B20" i="4"/>
  <c r="B21" i="4"/>
  <c r="B22" i="4"/>
  <c r="B23" i="4"/>
  <c r="B24" i="4"/>
  <c r="B25" i="4"/>
  <c r="B26" i="4"/>
  <c r="B19" i="4"/>
  <c r="B10" i="4"/>
  <c r="B11" i="4"/>
  <c r="B12" i="4"/>
  <c r="B13" i="4"/>
  <c r="B14" i="4"/>
  <c r="B15" i="4"/>
  <c r="B16" i="4"/>
  <c r="B9" i="4"/>
  <c r="B4" i="4"/>
  <c r="N31" i="23" l="1"/>
  <c r="P30" i="23"/>
  <c r="I32" i="23"/>
  <c r="K31" i="23"/>
  <c r="N70" i="23"/>
  <c r="P69" i="23"/>
  <c r="F69" i="23"/>
  <c r="D70" i="23"/>
  <c r="AH70" i="23"/>
  <c r="AJ69" i="23"/>
  <c r="X71" i="23"/>
  <c r="Z70" i="23"/>
  <c r="AT71" i="23"/>
  <c r="AR72" i="23"/>
  <c r="AO70" i="23"/>
  <c r="AM71" i="23"/>
  <c r="K69" i="23"/>
  <c r="I70" i="23"/>
  <c r="AC70" i="23"/>
  <c r="AE69" i="23"/>
  <c r="S71" i="23"/>
  <c r="U70" i="23"/>
  <c r="AY69" i="23"/>
  <c r="AW70" i="23"/>
  <c r="AW32" i="23"/>
  <c r="AY31" i="23"/>
  <c r="AR32" i="23"/>
  <c r="AT31" i="23"/>
  <c r="AM31" i="23"/>
  <c r="AO30" i="23"/>
  <c r="AH32" i="23"/>
  <c r="AJ31" i="23"/>
  <c r="X32" i="23"/>
  <c r="Z31" i="23"/>
  <c r="S32" i="23"/>
  <c r="U31" i="23"/>
  <c r="F30" i="23"/>
  <c r="D31" i="23"/>
  <c r="F104" i="9"/>
  <c r="F103" i="9"/>
  <c r="F97" i="9"/>
  <c r="F105" i="9"/>
  <c r="F101" i="9"/>
  <c r="F98" i="9"/>
  <c r="F96" i="9"/>
  <c r="F102" i="9"/>
  <c r="F100" i="9"/>
  <c r="F99" i="9"/>
  <c r="AD7" i="4"/>
  <c r="AC7" i="4" s="1"/>
  <c r="AA7" i="4"/>
  <c r="Z7" i="4" s="1"/>
  <c r="X7" i="4"/>
  <c r="W7" i="4" s="1"/>
  <c r="U7" i="4"/>
  <c r="T7" i="4" s="1"/>
  <c r="R7" i="4"/>
  <c r="Q7" i="4" s="1"/>
  <c r="O7" i="4"/>
  <c r="N7" i="4" s="1"/>
  <c r="L7" i="4"/>
  <c r="K7" i="4" s="1"/>
  <c r="I7" i="4"/>
  <c r="H7" i="4" s="1"/>
  <c r="F7" i="4"/>
  <c r="E7" i="4" s="1"/>
  <c r="C7" i="4"/>
  <c r="B7" i="4" s="1"/>
  <c r="N32" i="23" l="1"/>
  <c r="P31" i="23"/>
  <c r="I33" i="23"/>
  <c r="K32" i="23"/>
  <c r="AM72" i="23"/>
  <c r="AO71" i="23"/>
  <c r="I71" i="23"/>
  <c r="K70" i="23"/>
  <c r="AR73" i="23"/>
  <c r="AT72" i="23"/>
  <c r="AJ70" i="23"/>
  <c r="AH71" i="23"/>
  <c r="AC71" i="23"/>
  <c r="AE70" i="23"/>
  <c r="Z71" i="23"/>
  <c r="X72" i="23"/>
  <c r="AW71" i="23"/>
  <c r="AY70" i="23"/>
  <c r="D71" i="23"/>
  <c r="F70" i="23"/>
  <c r="S72" i="23"/>
  <c r="U71" i="23"/>
  <c r="P70" i="23"/>
  <c r="N71" i="23"/>
  <c r="AW33" i="23"/>
  <c r="AY32" i="23"/>
  <c r="AR33" i="23"/>
  <c r="AT32" i="23"/>
  <c r="AM32" i="23"/>
  <c r="AO31" i="23"/>
  <c r="AH33" i="23"/>
  <c r="AJ32" i="23"/>
  <c r="X33" i="23"/>
  <c r="Z32" i="23"/>
  <c r="S33" i="23"/>
  <c r="U32" i="23"/>
  <c r="D32" i="23"/>
  <c r="F31" i="23"/>
  <c r="O36" i="4"/>
  <c r="F36" i="4"/>
  <c r="AD36" i="4"/>
  <c r="AA36" i="4"/>
  <c r="I36" i="4"/>
  <c r="C36" i="4"/>
  <c r="B36" i="4" s="1"/>
  <c r="R36" i="4"/>
  <c r="L36" i="4"/>
  <c r="U36" i="4"/>
  <c r="X36" i="4"/>
  <c r="N33" i="23" l="1"/>
  <c r="P32" i="23"/>
  <c r="I34" i="23"/>
  <c r="K33" i="23"/>
  <c r="AW72" i="23"/>
  <c r="AY71" i="23"/>
  <c r="F71" i="23"/>
  <c r="D72" i="23"/>
  <c r="X73" i="23"/>
  <c r="Z72" i="23"/>
  <c r="AC72" i="23"/>
  <c r="AE71" i="23"/>
  <c r="AH72" i="23"/>
  <c r="AJ71" i="23"/>
  <c r="AT73" i="23"/>
  <c r="AR74" i="23"/>
  <c r="I72" i="23"/>
  <c r="K71" i="23"/>
  <c r="N72" i="23"/>
  <c r="P71" i="23"/>
  <c r="S73" i="23"/>
  <c r="U72" i="23"/>
  <c r="AM73" i="23"/>
  <c r="AO72" i="23"/>
  <c r="AW34" i="23"/>
  <c r="AY33" i="23"/>
  <c r="AR34" i="23"/>
  <c r="AT33" i="23"/>
  <c r="AM33" i="23"/>
  <c r="AO32" i="23"/>
  <c r="AH34" i="23"/>
  <c r="AJ33" i="23"/>
  <c r="X34" i="23"/>
  <c r="Z33" i="23"/>
  <c r="S34" i="23"/>
  <c r="U33" i="23"/>
  <c r="D33" i="23"/>
  <c r="F32" i="23"/>
  <c r="N34" i="23" l="1"/>
  <c r="P33" i="23"/>
  <c r="I35" i="23"/>
  <c r="K34" i="23"/>
  <c r="I73" i="23"/>
  <c r="K72" i="23"/>
  <c r="AC73" i="23"/>
  <c r="AE72" i="23"/>
  <c r="AM74" i="23"/>
  <c r="AO73" i="23"/>
  <c r="AR75" i="23"/>
  <c r="AT74" i="23"/>
  <c r="Z73" i="23"/>
  <c r="X74" i="23"/>
  <c r="P72" i="23"/>
  <c r="N73" i="23"/>
  <c r="AJ72" i="23"/>
  <c r="AH73" i="23"/>
  <c r="D73" i="23"/>
  <c r="F72" i="23"/>
  <c r="S74" i="23"/>
  <c r="U73" i="23"/>
  <c r="AW73" i="23"/>
  <c r="AY72" i="23"/>
  <c r="AW35" i="23"/>
  <c r="AY34" i="23"/>
  <c r="AR35" i="23"/>
  <c r="AT34" i="23"/>
  <c r="AM34" i="23"/>
  <c r="AO33" i="23"/>
  <c r="AH35" i="23"/>
  <c r="AJ34" i="23"/>
  <c r="X35" i="23"/>
  <c r="Z34" i="23"/>
  <c r="S35" i="23"/>
  <c r="U34" i="23"/>
  <c r="F33" i="23"/>
  <c r="D34" i="23"/>
  <c r="N35" i="23" l="1"/>
  <c r="P34" i="23"/>
  <c r="I36" i="23"/>
  <c r="K35" i="23"/>
  <c r="S75" i="23"/>
  <c r="U74" i="23"/>
  <c r="AH74" i="23"/>
  <c r="AJ73" i="23"/>
  <c r="N74" i="23"/>
  <c r="P73" i="23"/>
  <c r="X75" i="23"/>
  <c r="Z74" i="23"/>
  <c r="AW74" i="23"/>
  <c r="AY73" i="23"/>
  <c r="AC74" i="23"/>
  <c r="AE73" i="23"/>
  <c r="F73" i="23"/>
  <c r="D74" i="23"/>
  <c r="AT75" i="23"/>
  <c r="R104" i="9" s="1"/>
  <c r="AR76" i="23"/>
  <c r="AT76" i="23" s="1"/>
  <c r="AM75" i="23"/>
  <c r="AO74" i="23"/>
  <c r="I74" i="23"/>
  <c r="K73" i="23"/>
  <c r="AW36" i="23"/>
  <c r="AY35" i="23"/>
  <c r="AR36" i="23"/>
  <c r="AT35" i="23"/>
  <c r="AM35" i="23"/>
  <c r="AO34" i="23"/>
  <c r="AH36" i="23"/>
  <c r="AJ35" i="23"/>
  <c r="X36" i="23"/>
  <c r="Z35" i="23"/>
  <c r="S36" i="23"/>
  <c r="U35" i="23"/>
  <c r="F34" i="23"/>
  <c r="D35" i="23"/>
  <c r="N36" i="23" l="1"/>
  <c r="P35" i="23"/>
  <c r="I37" i="23"/>
  <c r="K37" i="23" s="1"/>
  <c r="K36" i="23"/>
  <c r="L97" i="9" s="1"/>
  <c r="S76" i="23"/>
  <c r="U76" i="23" s="1"/>
  <c r="U75" i="23"/>
  <c r="R99" i="9" s="1"/>
  <c r="AC75" i="23"/>
  <c r="AE74" i="23"/>
  <c r="AJ74" i="23"/>
  <c r="AH75" i="23"/>
  <c r="AM76" i="23"/>
  <c r="AO76" i="23" s="1"/>
  <c r="AO75" i="23"/>
  <c r="R103" i="9" s="1"/>
  <c r="D75" i="23"/>
  <c r="F74" i="23"/>
  <c r="AW75" i="23"/>
  <c r="AY74" i="23"/>
  <c r="Z75" i="23"/>
  <c r="R100" i="9" s="1"/>
  <c r="X76" i="23"/>
  <c r="Z76" i="23" s="1"/>
  <c r="P74" i="23"/>
  <c r="N75" i="23"/>
  <c r="I75" i="23"/>
  <c r="K74" i="23"/>
  <c r="AW37" i="23"/>
  <c r="AY37" i="23" s="1"/>
  <c r="AY36" i="23"/>
  <c r="L105" i="9" s="1"/>
  <c r="AR37" i="23"/>
  <c r="AT37" i="23" s="1"/>
  <c r="AT36" i="23"/>
  <c r="L104" i="9" s="1"/>
  <c r="AM36" i="23"/>
  <c r="AO35" i="23"/>
  <c r="AH37" i="23"/>
  <c r="AJ37" i="23" s="1"/>
  <c r="AJ36" i="23"/>
  <c r="L102" i="9" s="1"/>
  <c r="X37" i="23"/>
  <c r="Z37" i="23" s="1"/>
  <c r="Z36" i="23"/>
  <c r="L100" i="9" s="1"/>
  <c r="S37" i="23"/>
  <c r="U37" i="23" s="1"/>
  <c r="U36" i="23"/>
  <c r="L99" i="9" s="1"/>
  <c r="F35" i="23"/>
  <c r="D36" i="23"/>
  <c r="N37" i="23" l="1"/>
  <c r="P37" i="23" s="1"/>
  <c r="P36" i="23"/>
  <c r="L98" i="9" s="1"/>
  <c r="N76" i="23"/>
  <c r="P76" i="23" s="1"/>
  <c r="P75" i="23"/>
  <c r="R98" i="9" s="1"/>
  <c r="AW76" i="23"/>
  <c r="AY76" i="23" s="1"/>
  <c r="AY75" i="23"/>
  <c r="R105" i="9" s="1"/>
  <c r="F75" i="23"/>
  <c r="R96" i="9" s="1"/>
  <c r="D76" i="23"/>
  <c r="F76" i="23" s="1"/>
  <c r="AH76" i="23"/>
  <c r="AJ76" i="23" s="1"/>
  <c r="AJ75" i="23"/>
  <c r="R102" i="9" s="1"/>
  <c r="AC76" i="23"/>
  <c r="AE76" i="23" s="1"/>
  <c r="AE75" i="23"/>
  <c r="R101" i="9" s="1"/>
  <c r="I76" i="23"/>
  <c r="K76" i="23" s="1"/>
  <c r="K75" i="23"/>
  <c r="R97" i="9" s="1"/>
  <c r="AM37" i="23"/>
  <c r="AO37" i="23" s="1"/>
  <c r="AO36" i="23"/>
  <c r="L103" i="9" s="1"/>
  <c r="F36" i="23"/>
  <c r="D37" i="23"/>
  <c r="F37" i="23" l="1"/>
  <c r="L96" i="9" s="1"/>
</calcChain>
</file>

<file path=xl/sharedStrings.xml><?xml version="1.0" encoding="utf-8"?>
<sst xmlns="http://schemas.openxmlformats.org/spreadsheetml/2006/main" count="1512" uniqueCount="482">
  <si>
    <t>PORTIERI</t>
  </si>
  <si>
    <t>DIFENSORI</t>
  </si>
  <si>
    <t>CENTROCAMPO</t>
  </si>
  <si>
    <t>ATTACCANTI</t>
  </si>
  <si>
    <t>RESTANTI</t>
  </si>
  <si>
    <t>BUDGET</t>
  </si>
  <si>
    <t>ALTERATI1926</t>
  </si>
  <si>
    <t>DELU TEAM</t>
  </si>
  <si>
    <t>LE TROFIE 'NFOJATE</t>
  </si>
  <si>
    <t>MAMBO FC</t>
  </si>
  <si>
    <t>MANZOTEAM</t>
  </si>
  <si>
    <t>MOJITO FC
MOJITO FC</t>
  </si>
  <si>
    <t>PANCINO TEAM</t>
  </si>
  <si>
    <t>SPACCA CFC</t>
  </si>
  <si>
    <t>PATATINAKOS
PATATINAIKOS
PATATINAIKOS 
PATATINAIKOS
PATATINAIKOS</t>
  </si>
  <si>
    <t xml:space="preserve"> SAMPMANIA
SAMPMANIA</t>
  </si>
  <si>
    <t>Crediti Buste</t>
  </si>
  <si>
    <t>ASTA QUELLI CHE.. LA SCIMMIA DI FANTACALCIO</t>
  </si>
  <si>
    <t>Bonucci</t>
  </si>
  <si>
    <t>Perotti</t>
  </si>
  <si>
    <t>Dybala</t>
  </si>
  <si>
    <t>Buffon</t>
  </si>
  <si>
    <t>Neto</t>
  </si>
  <si>
    <t>Audero</t>
  </si>
  <si>
    <t>Acerbi</t>
  </si>
  <si>
    <t>Manolas</t>
  </si>
  <si>
    <t>Silvestre</t>
  </si>
  <si>
    <t>Widmer</t>
  </si>
  <si>
    <t>Borja Valero</t>
  </si>
  <si>
    <t>Joao Mario</t>
  </si>
  <si>
    <t>Suso</t>
  </si>
  <si>
    <t>Hamsik</t>
  </si>
  <si>
    <t>Baselli</t>
  </si>
  <si>
    <t>Pavoletti</t>
  </si>
  <si>
    <t>Salah</t>
  </si>
  <si>
    <t>Niang</t>
  </si>
  <si>
    <t>Defrel</t>
  </si>
  <si>
    <t>Viviano</t>
  </si>
  <si>
    <t>Saponara</t>
  </si>
  <si>
    <t>Ansaldi</t>
  </si>
  <si>
    <t>Ljaic</t>
  </si>
  <si>
    <t>Icardi</t>
  </si>
  <si>
    <t>Consigli</t>
  </si>
  <si>
    <t>Paredes</t>
  </si>
  <si>
    <t>Berardi</t>
  </si>
  <si>
    <t>Alex Sandro</t>
  </si>
  <si>
    <t>Gomez</t>
  </si>
  <si>
    <t>Belotti</t>
  </si>
  <si>
    <t>Donnarumma</t>
  </si>
  <si>
    <t>Perisic</t>
  </si>
  <si>
    <t>Higuain</t>
  </si>
  <si>
    <t>Tatarusanu</t>
  </si>
  <si>
    <t>Mertens</t>
  </si>
  <si>
    <t>Bacca</t>
  </si>
  <si>
    <t>De Silvestri</t>
  </si>
  <si>
    <t>Khedira</t>
  </si>
  <si>
    <t>Immobile</t>
  </si>
  <si>
    <t>Reina</t>
  </si>
  <si>
    <t>Barzagli</t>
  </si>
  <si>
    <t>Handanovic</t>
  </si>
  <si>
    <t>Perin</t>
  </si>
  <si>
    <t>Sorrentino</t>
  </si>
  <si>
    <t>Marchetti</t>
  </si>
  <si>
    <t>Padelli</t>
  </si>
  <si>
    <t>Karnezis</t>
  </si>
  <si>
    <t>Gastaldello</t>
  </si>
  <si>
    <t>Masina</t>
  </si>
  <si>
    <t>Gobbi</t>
  </si>
  <si>
    <t>Astori</t>
  </si>
  <si>
    <t>Rodriguez</t>
  </si>
  <si>
    <t>Izzo</t>
  </si>
  <si>
    <t>Gentiletti</t>
  </si>
  <si>
    <t>Burdisso</t>
  </si>
  <si>
    <t>Dani Alves</t>
  </si>
  <si>
    <t>Bastos</t>
  </si>
  <si>
    <t>De Vrij</t>
  </si>
  <si>
    <t>Hoedt</t>
  </si>
  <si>
    <t>De Sciglio</t>
  </si>
  <si>
    <t>Romagnoli</t>
  </si>
  <si>
    <t>Koulibaly</t>
  </si>
  <si>
    <t>Hysaj</t>
  </si>
  <si>
    <t>Albiol</t>
  </si>
  <si>
    <t>Ghoulam</t>
  </si>
  <si>
    <t>Maksimovic</t>
  </si>
  <si>
    <t>Biraghi</t>
  </si>
  <si>
    <t>Zampano</t>
  </si>
  <si>
    <t>Florenzi</t>
  </si>
  <si>
    <t>Juan Jesus</t>
  </si>
  <si>
    <t>Bruno Peres</t>
  </si>
  <si>
    <t>Regini</t>
  </si>
  <si>
    <t>Pavlovic</t>
  </si>
  <si>
    <t>Dodò</t>
  </si>
  <si>
    <t>Calabria</t>
  </si>
  <si>
    <t>Cannavaro</t>
  </si>
  <si>
    <t>Peluso</t>
  </si>
  <si>
    <t>Molinaro</t>
  </si>
  <si>
    <t>Danilo</t>
  </si>
  <si>
    <t>Bruno Alves</t>
  </si>
  <si>
    <t>Costa</t>
  </si>
  <si>
    <t>Pasqual</t>
  </si>
  <si>
    <t>Moretti</t>
  </si>
  <si>
    <t>Di Gennaro</t>
  </si>
  <si>
    <t>Birsa</t>
  </si>
  <si>
    <t>Tello</t>
  </si>
  <si>
    <t>Rincon</t>
  </si>
  <si>
    <t>Laxalt</t>
  </si>
  <si>
    <t>Rigoni</t>
  </si>
  <si>
    <t>Candreva</t>
  </si>
  <si>
    <t>Banega</t>
  </si>
  <si>
    <t>Lemina</t>
  </si>
  <si>
    <t>Biglia</t>
  </si>
  <si>
    <t>Parolo</t>
  </si>
  <si>
    <t>Bonaventura</t>
  </si>
  <si>
    <t>Fernandez</t>
  </si>
  <si>
    <t>Montolivo</t>
  </si>
  <si>
    <t>Sosa</t>
  </si>
  <si>
    <t>Pasalic</t>
  </si>
  <si>
    <t>Allan</t>
  </si>
  <si>
    <t>Jorginho</t>
  </si>
  <si>
    <t>Magnanelli</t>
  </si>
  <si>
    <t>Benassi</t>
  </si>
  <si>
    <t>Paloschi</t>
  </si>
  <si>
    <t>Destro</t>
  </si>
  <si>
    <t>Sau</t>
  </si>
  <si>
    <t>Borriello</t>
  </si>
  <si>
    <t>Meggiorini</t>
  </si>
  <si>
    <t>Falcinelli</t>
  </si>
  <si>
    <t>Palladino</t>
  </si>
  <si>
    <t>Trotta</t>
  </si>
  <si>
    <t>Maccarone</t>
  </si>
  <si>
    <t>Pucciarelli</t>
  </si>
  <si>
    <t>Gilardino</t>
  </si>
  <si>
    <t>Kalinic</t>
  </si>
  <si>
    <t>Ilicic</t>
  </si>
  <si>
    <t>Eder</t>
  </si>
  <si>
    <t>Gabigol</t>
  </si>
  <si>
    <t>Mandzukic</t>
  </si>
  <si>
    <t>Pjaca</t>
  </si>
  <si>
    <t>Lapadula</t>
  </si>
  <si>
    <t>Callejon</t>
  </si>
  <si>
    <t>Milik</t>
  </si>
  <si>
    <t>Dzeko</t>
  </si>
  <si>
    <t>Muriel</t>
  </si>
  <si>
    <t>Quagliarella</t>
  </si>
  <si>
    <t>Matri</t>
  </si>
  <si>
    <t>Puggioni</t>
  </si>
  <si>
    <t>Tozzo</t>
  </si>
  <si>
    <t>Hart</t>
  </si>
  <si>
    <t>Sepe</t>
  </si>
  <si>
    <t>Rafael</t>
  </si>
  <si>
    <t>Carrizo</t>
  </si>
  <si>
    <t>Berni</t>
  </si>
  <si>
    <t>Szczesny</t>
  </si>
  <si>
    <t>Alisson</t>
  </si>
  <si>
    <t>Lezzerini</t>
  </si>
  <si>
    <t>Lamanna</t>
  </si>
  <si>
    <t>Gabriel</t>
  </si>
  <si>
    <t>Storari</t>
  </si>
  <si>
    <t>Sportiello</t>
  </si>
  <si>
    <t>Berisha</t>
  </si>
  <si>
    <t>Skorupski</t>
  </si>
  <si>
    <t>Martella</t>
  </si>
  <si>
    <t>Rispoli</t>
  </si>
  <si>
    <t>Vermaelen</t>
  </si>
  <si>
    <t>Miranda</t>
  </si>
  <si>
    <t>Murillo</t>
  </si>
  <si>
    <t>Zukanovic</t>
  </si>
  <si>
    <t>Basta</t>
  </si>
  <si>
    <t>Chiellini</t>
  </si>
  <si>
    <t>Isla</t>
  </si>
  <si>
    <t>Dramè</t>
  </si>
  <si>
    <t>Antonelli</t>
  </si>
  <si>
    <t>Benatia</t>
  </si>
  <si>
    <t>Abate</t>
  </si>
  <si>
    <t>Krafth</t>
  </si>
  <si>
    <t>Conti</t>
  </si>
  <si>
    <t>Zappacosta</t>
  </si>
  <si>
    <t>Edenilson</t>
  </si>
  <si>
    <t>Evra</t>
  </si>
  <si>
    <t>Ferrari G</t>
  </si>
  <si>
    <t>D'Ambrosio</t>
  </si>
  <si>
    <t>Heurtaux</t>
  </si>
  <si>
    <t>Cacciatore</t>
  </si>
  <si>
    <t>Alesami</t>
  </si>
  <si>
    <t>Orban</t>
  </si>
  <si>
    <t>Mario Rui</t>
  </si>
  <si>
    <t>Castan</t>
  </si>
  <si>
    <t>Lichsteiner</t>
  </si>
  <si>
    <t>Ceccherini</t>
  </si>
  <si>
    <t>Goldaniga</t>
  </si>
  <si>
    <t>Lukaku</t>
  </si>
  <si>
    <t>Rosi</t>
  </si>
  <si>
    <t>Zapata</t>
  </si>
  <si>
    <t>Rudiger</t>
  </si>
  <si>
    <t>Laurini</t>
  </si>
  <si>
    <t>Oliveira</t>
  </si>
  <si>
    <t>Bernardeschi</t>
  </si>
  <si>
    <t>Pjanic</t>
  </si>
  <si>
    <t>Linetty</t>
  </si>
  <si>
    <t>Felipe Anderson</t>
  </si>
  <si>
    <t>Fofana</t>
  </si>
  <si>
    <t>D'Alessandro</t>
  </si>
  <si>
    <t>Strootman</t>
  </si>
  <si>
    <t>Praet</t>
  </si>
  <si>
    <t>Kessie</t>
  </si>
  <si>
    <t>Nainggolan</t>
  </si>
  <si>
    <t>Lulic</t>
  </si>
  <si>
    <t>Krejcy</t>
  </si>
  <si>
    <t>Kums</t>
  </si>
  <si>
    <t>Torreira</t>
  </si>
  <si>
    <t>Duncan</t>
  </si>
  <si>
    <t>Padoin</t>
  </si>
  <si>
    <t>Sala</t>
  </si>
  <si>
    <t>Diamanti</t>
  </si>
  <si>
    <t>De Paul</t>
  </si>
  <si>
    <t>Verre</t>
  </si>
  <si>
    <t>Benali</t>
  </si>
  <si>
    <t>De Rossi</t>
  </si>
  <si>
    <t>Kongdombia</t>
  </si>
  <si>
    <t>Cuadrado</t>
  </si>
  <si>
    <t>Veloso</t>
  </si>
  <si>
    <t>Marchisio</t>
  </si>
  <si>
    <t>Memushaj</t>
  </si>
  <si>
    <t>Capezzi</t>
  </si>
  <si>
    <t>Alvarez</t>
  </si>
  <si>
    <t>Brozovic</t>
  </si>
  <si>
    <t>Kurtic</t>
  </si>
  <si>
    <t>Iago Falque</t>
  </si>
  <si>
    <t>Missiroli</t>
  </si>
  <si>
    <t>Joao Pedro</t>
  </si>
  <si>
    <t>Asamoah</t>
  </si>
  <si>
    <t>Diawara</t>
  </si>
  <si>
    <t>Politano</t>
  </si>
  <si>
    <t>Vecino</t>
  </si>
  <si>
    <t>Tonev</t>
  </si>
  <si>
    <t>Verdi</t>
  </si>
  <si>
    <t>Rog</t>
  </si>
  <si>
    <t>Ionita</t>
  </si>
  <si>
    <t>Ntcham</t>
  </si>
  <si>
    <t>Hetemaj</t>
  </si>
  <si>
    <t>Mounier</t>
  </si>
  <si>
    <t>Valdifiori</t>
  </si>
  <si>
    <t>Medel</t>
  </si>
  <si>
    <t>Caprari</t>
  </si>
  <si>
    <t>Manaj</t>
  </si>
  <si>
    <t>El Sharaawy</t>
  </si>
  <si>
    <t>Insigne</t>
  </si>
  <si>
    <t>Gabbiadini</t>
  </si>
  <si>
    <t>Penaranda</t>
  </si>
  <si>
    <t>Ocampos</t>
  </si>
  <si>
    <t>Zarate</t>
  </si>
  <si>
    <t>Inglese</t>
  </si>
  <si>
    <t>Boyè</t>
  </si>
  <si>
    <t>Simeone</t>
  </si>
  <si>
    <t>Jovetic</t>
  </si>
  <si>
    <t>Farias</t>
  </si>
  <si>
    <t>Thereau</t>
  </si>
  <si>
    <t>Luis Alberto</t>
  </si>
  <si>
    <t>Budimir</t>
  </si>
  <si>
    <t>Keita</t>
  </si>
  <si>
    <t>Sadiq</t>
  </si>
  <si>
    <t>Perica</t>
  </si>
  <si>
    <t>Nestorovski</t>
  </si>
  <si>
    <t>Schick</t>
  </si>
  <si>
    <t>Ragusa</t>
  </si>
  <si>
    <t>Martinez</t>
  </si>
  <si>
    <t>Babacar</t>
  </si>
  <si>
    <t xml:space="preserve">MOJITO FC
</t>
  </si>
  <si>
    <t>Giornata</t>
  </si>
  <si>
    <t>Bonus/Malus</t>
  </si>
  <si>
    <t>Totale</t>
  </si>
  <si>
    <t>Pesato</t>
  </si>
  <si>
    <t>PATATINAIKOS</t>
  </si>
  <si>
    <t>SAMPMANIA</t>
  </si>
  <si>
    <t>MOJITO FC</t>
  </si>
  <si>
    <t>Media</t>
  </si>
  <si>
    <t>Handicap</t>
  </si>
  <si>
    <t>Punti Persi</t>
  </si>
  <si>
    <t>V</t>
  </si>
  <si>
    <t>P</t>
  </si>
  <si>
    <t>S</t>
  </si>
  <si>
    <t>∑</t>
  </si>
  <si>
    <t>Fantapunti</t>
  </si>
  <si>
    <t>Punti</t>
  </si>
  <si>
    <t>Delu Team</t>
  </si>
  <si>
    <t>Mambo FC</t>
  </si>
  <si>
    <t>Manzoteam</t>
  </si>
  <si>
    <t>Mojito FC</t>
  </si>
  <si>
    <t>Patatinaikos</t>
  </si>
  <si>
    <t>Sampmania</t>
  </si>
  <si>
    <t>Spacca CFC</t>
  </si>
  <si>
    <t>Classifica con Fantaculo</t>
  </si>
  <si>
    <t>Classifica Reale</t>
  </si>
  <si>
    <t>Gol fatti/ subiti</t>
  </si>
  <si>
    <t>1°</t>
  </si>
  <si>
    <t>2°</t>
  </si>
  <si>
    <t>3°</t>
  </si>
  <si>
    <t>4°</t>
  </si>
  <si>
    <t>5°</t>
  </si>
  <si>
    <t>6°</t>
  </si>
  <si>
    <t>7°</t>
  </si>
  <si>
    <t>8°</t>
  </si>
  <si>
    <t>9°</t>
  </si>
  <si>
    <t>10°</t>
  </si>
  <si>
    <t>TROFIE 'NFOIATE</t>
  </si>
  <si>
    <t>Trofie 'Nfoiate</t>
  </si>
  <si>
    <t>1° posto</t>
  </si>
  <si>
    <t>2° posto</t>
  </si>
  <si>
    <t>3° posto</t>
  </si>
  <si>
    <t>Vittoria</t>
  </si>
  <si>
    <t>Pareggio</t>
  </si>
  <si>
    <t>Sconfitta</t>
  </si>
  <si>
    <t>STRAW DOGS</t>
  </si>
  <si>
    <t>RCD SUERTE</t>
  </si>
  <si>
    <t>Straw Dogs</t>
  </si>
  <si>
    <t>RCD Suerte</t>
  </si>
  <si>
    <t>Cifra Tonda</t>
  </si>
  <si>
    <t>Punti Guadagnati</t>
  </si>
  <si>
    <t>Classifica Combinata</t>
  </si>
  <si>
    <t>Classifica Fantapunti</t>
  </si>
  <si>
    <t>MEDIA</t>
  </si>
  <si>
    <t>TOTALE</t>
  </si>
  <si>
    <t>Squadra</t>
  </si>
  <si>
    <t>Gol Totali</t>
  </si>
  <si>
    <t>Dif.</t>
  </si>
  <si>
    <t>%</t>
  </si>
  <si>
    <t>Cent.</t>
  </si>
  <si>
    <t>Att.</t>
  </si>
  <si>
    <t>Assist Tot.</t>
  </si>
  <si>
    <t>Gol Pareggio</t>
  </si>
  <si>
    <t>Gol Vittoria</t>
  </si>
  <si>
    <t>Ammonizioni</t>
  </si>
  <si>
    <t>Espulsioni</t>
  </si>
  <si>
    <t>Gol Subiti</t>
  </si>
  <si>
    <t>Imbattibilità</t>
  </si>
  <si>
    <t>Autogol</t>
  </si>
  <si>
    <t>Gol Panchina</t>
  </si>
  <si>
    <t>Assist Panchina</t>
  </si>
  <si>
    <t>Rig Segnati</t>
  </si>
  <si>
    <t>Rig. Sbagliati</t>
  </si>
  <si>
    <t>Rig. Parati</t>
  </si>
  <si>
    <t>Partite Modificatore</t>
  </si>
  <si>
    <t>Punti Modificatore</t>
  </si>
  <si>
    <t>Tot. Punti Bonus</t>
  </si>
  <si>
    <t>Tot. Punti Malus</t>
  </si>
  <si>
    <t>Saldo</t>
  </si>
  <si>
    <t>Punti Rosa</t>
  </si>
  <si>
    <t>Strawdogs</t>
  </si>
  <si>
    <t>Trofie 'nfoiate</t>
  </si>
  <si>
    <t>Partite Giocate</t>
  </si>
  <si>
    <t>Partite Vinte</t>
  </si>
  <si>
    <t>% Vittorie</t>
  </si>
  <si>
    <t>Partite Pareggiate</t>
  </si>
  <si>
    <t>% Pareggi</t>
  </si>
  <si>
    <t>Partite Perse</t>
  </si>
  <si>
    <t>% Sconfitte</t>
  </si>
  <si>
    <t>Gol Fatti</t>
  </si>
  <si>
    <t>Diff. Reti</t>
  </si>
  <si>
    <t>Gol e assist panchina, Modificatore e Punti Bonus e Malus introdotti nel 2018-2019</t>
  </si>
  <si>
    <t>Scudetto</t>
  </si>
  <si>
    <t>Coppa Italia</t>
  </si>
  <si>
    <t>Champions League</t>
  </si>
  <si>
    <t>Europa League</t>
  </si>
  <si>
    <t>Supercoppa Italiana</t>
  </si>
  <si>
    <t>Supercoppa Europea</t>
  </si>
  <si>
    <t>Totale Trofei</t>
  </si>
  <si>
    <t>Fascia 0 Gol</t>
  </si>
  <si>
    <t>Fascia 1 Gol</t>
  </si>
  <si>
    <t>Fascia 2 Gol</t>
  </si>
  <si>
    <t>Fascia 3 Gol</t>
  </si>
  <si>
    <t>Fascia 4 Gol</t>
  </si>
  <si>
    <t>Fascia 5 Gol</t>
  </si>
  <si>
    <t>Fascia 6 Gol</t>
  </si>
  <si>
    <t>TUTTI CONTRO TUTTI</t>
  </si>
  <si>
    <t>PUNTI AVVERSARIO</t>
  </si>
  <si>
    <t xml:space="preserve"> Strawdogs</t>
  </si>
  <si>
    <t xml:space="preserve"> Delu Team</t>
  </si>
  <si>
    <t xml:space="preserve"> Trofie 'nfoiate</t>
  </si>
  <si>
    <t xml:space="preserve"> Mambo FC</t>
  </si>
  <si>
    <t xml:space="preserve"> Manzoteam</t>
  </si>
  <si>
    <t xml:space="preserve"> Mojito FC</t>
  </si>
  <si>
    <t xml:space="preserve"> RCD Suerte</t>
  </si>
  <si>
    <t xml:space="preserve"> Patatinaikos</t>
  </si>
  <si>
    <t xml:space="preserve"> Sampmania</t>
  </si>
  <si>
    <t xml:space="preserve"> Spacca CFC</t>
  </si>
  <si>
    <t>Non Sfruttati</t>
  </si>
  <si>
    <t>Gol</t>
  </si>
  <si>
    <t>Assist</t>
  </si>
  <si>
    <t>Fascia 7 Gol</t>
  </si>
  <si>
    <t>% sul Totale</t>
  </si>
  <si>
    <t>Fascia 0 Gol Avv.</t>
  </si>
  <si>
    <t>Fascia 1 Gol Avv.</t>
  </si>
  <si>
    <t>Fascia 2 Gol Avv.</t>
  </si>
  <si>
    <t>Fascia 3 Gol Avv.</t>
  </si>
  <si>
    <t>Fascia 4 Gol Avv.</t>
  </si>
  <si>
    <t>Fascia 5 Gol Avv.</t>
  </si>
  <si>
    <t>Fascia 6 Gol Avv.</t>
  </si>
  <si>
    <t>Fascia 7 Gol Avv.</t>
  </si>
  <si>
    <t>Campionato in corso</t>
  </si>
  <si>
    <t>Culo</t>
  </si>
  <si>
    <t>Meritato</t>
  </si>
  <si>
    <t>Sfiga</t>
  </si>
  <si>
    <t>Differenza Reti</t>
  </si>
  <si>
    <t>Posizione</t>
  </si>
  <si>
    <t>Posizione Campionato dal 2017</t>
  </si>
  <si>
    <t>Trofei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</si>
  <si>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</si>
  <si>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</si>
  <si>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</si>
  <si>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</si>
  <si>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</si>
  <si>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</si>
  <si>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</si>
  <si>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</si>
  <si>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Punteggio Max</t>
  </si>
  <si>
    <t>STRAWDOGS</t>
  </si>
  <si>
    <t>Punti Scorso</t>
  </si>
  <si>
    <t>Cumul. Punti</t>
  </si>
  <si>
    <t>Cumul. Punti Scorso</t>
  </si>
  <si>
    <t>Delta Punti</t>
  </si>
  <si>
    <t>% rosa sfruttata</t>
  </si>
  <si>
    <t>Fantapunti Partita</t>
  </si>
  <si>
    <t>Vittorie Di Fila</t>
  </si>
  <si>
    <t>Partite Utili Di Fila</t>
  </si>
  <si>
    <t>Sconfitte Di Fila</t>
  </si>
  <si>
    <t>Record dal 2016-2017</t>
  </si>
  <si>
    <t>Senza Vittoria Di Fila</t>
  </si>
  <si>
    <t>Più Vittorie Stagione</t>
  </si>
  <si>
    <t>Meno Vittorie Stagione</t>
  </si>
  <si>
    <t>Piu Sconfitte Stagione</t>
  </si>
  <si>
    <t>Meno Sconfitte Stagione</t>
  </si>
  <si>
    <t>Più Gol Fatti Stagione</t>
  </si>
  <si>
    <t>Più Gol Subiti Stagione</t>
  </si>
  <si>
    <t>Meno Gol Fatti Stagione</t>
  </si>
  <si>
    <t>Meno Gol Subiti Stagione</t>
  </si>
  <si>
    <t>Valore</t>
  </si>
  <si>
    <t>Andamento</t>
  </si>
  <si>
    <t>2024-2025</t>
  </si>
  <si>
    <t>Coppa Highlander</t>
  </si>
  <si>
    <t>€€€ dal 2015</t>
  </si>
  <si>
    <t>2014-2015</t>
  </si>
  <si>
    <t>2015-2016</t>
  </si>
  <si>
    <t>Manzo Team</t>
  </si>
  <si>
    <t>Trofie 'N Foiate</t>
  </si>
  <si>
    <t>Strow Dogs</t>
  </si>
  <si>
    <t>Dalu Team</t>
  </si>
  <si>
    <t xml:space="preserve">Mojito FC
</t>
  </si>
  <si>
    <t>Numero Giocatori</t>
  </si>
  <si>
    <t>Andamento Valore Rosa</t>
  </si>
  <si>
    <t>V.M. Giocat.</t>
  </si>
  <si>
    <t>3-0</t>
  </si>
  <si>
    <t>0-3</t>
  </si>
  <si>
    <t>2-5</t>
  </si>
  <si>
    <t>5-2</t>
  </si>
  <si>
    <t>1-1</t>
  </si>
  <si>
    <t>3-1</t>
  </si>
  <si>
    <t>1-3</t>
  </si>
  <si>
    <r>
      <rPr>
        <b/>
        <sz val="11"/>
        <color rgb="FF000000"/>
        <rFont val="Calibri"/>
        <family val="2"/>
      </rPr>
      <t>∆</t>
    </r>
    <r>
      <rPr>
        <b/>
        <sz val="8.8000000000000007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anno 2024-25</t>
    </r>
  </si>
  <si>
    <t>3-2</t>
  </si>
  <si>
    <t>2-3</t>
  </si>
  <si>
    <t>2-2</t>
  </si>
  <si>
    <t>4-2</t>
  </si>
  <si>
    <t>2-4</t>
  </si>
  <si>
    <t>2-1</t>
  </si>
  <si>
    <t>1-2</t>
  </si>
  <si>
    <t>2-0</t>
  </si>
  <si>
    <t>0-2</t>
  </si>
  <si>
    <t>0-1</t>
  </si>
  <si>
    <t>1-0</t>
  </si>
  <si>
    <t>4-3</t>
  </si>
  <si>
    <t>3-4</t>
  </si>
  <si>
    <t>4-1</t>
  </si>
  <si>
    <t>1-4</t>
  </si>
  <si>
    <t>4-4</t>
  </si>
  <si>
    <t>3-3</t>
  </si>
  <si>
    <t>5-1</t>
  </si>
  <si>
    <t>1-5</t>
  </si>
  <si>
    <t>0-4</t>
  </si>
  <si>
    <t>4-0</t>
  </si>
  <si>
    <t>2025-2026</t>
  </si>
  <si>
    <t>0-0</t>
  </si>
  <si>
    <t>Coppa Intercont.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</si>
</sst>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#,##0.00&quot; &quot;[$€-407];[Red]&quot;-&quot;#,##0.00&quot; &quot;[$€-407]"/>
    <numFmt numFmtId="166" formatCode="0.0"/>
    <numFmt numFmtId="167" formatCode="0.0%"/>
    <numFmt numFmtId="168" formatCode="_-* #,##0.0_-;\-* #,##0.0_-;_-* &quot;-&quot;??_-;_-@_-"/>
    <numFmt numFmtId="169" formatCode="_-* #,##0\ [$€-410]_-;\-* #,##0\ [$€-410]_-;_-* &quot;-&quot;??\ [$€-410]_-;_-@_-"/>
  </numFmts>
  <fonts count="28" x14ac:knownFonts="1">
    <font>
      <sz val="11"/>
      <color rgb="FF000000"/>
      <name val="Arial"/>
      <family val="2"/>
    </font>
    <font>
      <u/>
      <sz val="11"/>
      <color rgb="FF0563C1"/>
      <name val="Arial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8"/>
      <color rgb="FF0070C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theme="9"/>
      <name val="Arial"/>
      <family val="2"/>
    </font>
    <font>
      <b/>
      <sz val="8"/>
      <color rgb="FF00000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8"/>
      <color theme="1"/>
      <name val="Arial"/>
      <family val="2"/>
    </font>
    <font>
      <sz val="7"/>
      <color rgb="FF000000"/>
      <name val="Arial"/>
      <family val="2"/>
    </font>
    <font>
      <b/>
      <sz val="11"/>
      <color theme="8" tint="-0.249977111117893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8.8000000000000007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D320"/>
        <bgColor rgb="FFFFD320"/>
      </patternFill>
    </fill>
    <fill>
      <patternFill patternType="solid">
        <fgColor rgb="FF66FF99"/>
        <bgColor rgb="FF66FF99"/>
      </patternFill>
    </fill>
    <fill>
      <patternFill patternType="solid">
        <fgColor rgb="FF99CCFF"/>
        <bgColor rgb="FF99CCFF"/>
      </patternFill>
    </fill>
    <fill>
      <patternFill patternType="solid">
        <fgColor rgb="FFAECF00"/>
        <bgColor rgb="FFAECF00"/>
      </patternFill>
    </fill>
    <fill>
      <patternFill patternType="solid">
        <fgColor rgb="FF9999CC"/>
        <bgColor rgb="FF9999CC"/>
      </patternFill>
    </fill>
    <fill>
      <patternFill patternType="solid">
        <fgColor rgb="FFFFCC00"/>
        <bgColor rgb="FFFFCC00"/>
      </patternFill>
    </fill>
    <fill>
      <patternFill patternType="solid">
        <fgColor rgb="FF00CC00"/>
        <bgColor rgb="FF00CC00"/>
      </patternFill>
    </fill>
    <fill>
      <patternFill patternType="solid">
        <fgColor theme="5"/>
        <bgColor rgb="FFFFCC00"/>
      </patternFill>
    </fill>
    <fill>
      <patternFill patternType="solid">
        <fgColor rgb="FF0070C0"/>
        <bgColor rgb="FF00CC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rgb="FFFFD320"/>
      </patternFill>
    </fill>
    <fill>
      <patternFill patternType="solid">
        <fgColor theme="4" tint="0.59999389629810485"/>
        <bgColor rgb="FFFFD32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rgb="FFCC99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F6E0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165" fontId="3" fillId="0" borderId="0" applyBorder="0" applyProtection="0"/>
    <xf numFmtId="164" fontId="26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519">
    <xf numFmtId="0" fontId="0" fillId="0" borderId="0" xfId="0"/>
    <xf numFmtId="0" fontId="6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Protection="1">
      <protection locked="0"/>
    </xf>
    <xf numFmtId="0" fontId="6" fillId="0" borderId="5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7" xfId="0" applyFont="1" applyBorder="1"/>
    <xf numFmtId="0" fontId="7" fillId="0" borderId="1" xfId="0" applyFont="1" applyBorder="1" applyAlignment="1">
      <alignment horizontal="center"/>
    </xf>
    <xf numFmtId="0" fontId="8" fillId="0" borderId="3" xfId="0" applyFont="1" applyBorder="1"/>
    <xf numFmtId="0" fontId="6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10" fillId="0" borderId="0" xfId="0" applyFont="1" applyBorder="1" applyAlignment="1">
      <alignment horizontal="center"/>
    </xf>
    <xf numFmtId="0" fontId="0" fillId="0" borderId="0" xfId="0" applyFill="1"/>
    <xf numFmtId="0" fontId="7" fillId="11" borderId="16" xfId="0" applyFont="1" applyFill="1" applyBorder="1" applyAlignment="1">
      <alignment horizontal="center"/>
    </xf>
    <xf numFmtId="0" fontId="7" fillId="11" borderId="14" xfId="0" applyFont="1" applyFill="1" applyBorder="1" applyAlignment="1">
      <alignment horizontal="center"/>
    </xf>
    <xf numFmtId="0" fontId="7" fillId="12" borderId="14" xfId="0" applyFont="1" applyFill="1" applyBorder="1" applyAlignment="1">
      <alignment horizontal="center"/>
    </xf>
    <xf numFmtId="0" fontId="7" fillId="12" borderId="15" xfId="0" applyFont="1" applyFill="1" applyBorder="1" applyAlignment="1">
      <alignment horizontal="center"/>
    </xf>
    <xf numFmtId="0" fontId="7" fillId="12" borderId="18" xfId="0" applyFont="1" applyFill="1" applyBorder="1" applyAlignment="1">
      <alignment horizontal="center"/>
    </xf>
    <xf numFmtId="0" fontId="7" fillId="13" borderId="14" xfId="0" applyFont="1" applyFill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0" fontId="7" fillId="14" borderId="14" xfId="0" applyFont="1" applyFill="1" applyBorder="1" applyAlignment="1">
      <alignment horizontal="center"/>
    </xf>
    <xf numFmtId="0" fontId="7" fillId="14" borderId="18" xfId="0" applyFont="1" applyFill="1" applyBorder="1" applyAlignment="1">
      <alignment horizontal="center"/>
    </xf>
    <xf numFmtId="0" fontId="7" fillId="13" borderId="6" xfId="0" applyFont="1" applyFill="1" applyBorder="1" applyAlignment="1">
      <alignment horizontal="center"/>
    </xf>
    <xf numFmtId="0" fontId="7" fillId="15" borderId="19" xfId="0" applyFont="1" applyFill="1" applyBorder="1" applyAlignment="1">
      <alignment horizontal="center"/>
    </xf>
    <xf numFmtId="0" fontId="7" fillId="15" borderId="15" xfId="0" applyFont="1" applyFill="1" applyBorder="1" applyAlignment="1">
      <alignment horizontal="center"/>
    </xf>
    <xf numFmtId="0" fontId="7" fillId="16" borderId="15" xfId="0" applyFont="1" applyFill="1" applyBorder="1" applyAlignment="1">
      <alignment horizontal="center"/>
    </xf>
    <xf numFmtId="0" fontId="7" fillId="16" borderId="17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6" fontId="7" fillId="11" borderId="2" xfId="0" applyNumberFormat="1" applyFont="1" applyFill="1" applyBorder="1" applyAlignment="1">
      <alignment horizontal="center"/>
    </xf>
    <xf numFmtId="0" fontId="7" fillId="17" borderId="15" xfId="0" applyFont="1" applyFill="1" applyBorder="1" applyAlignment="1">
      <alignment horizontal="center"/>
    </xf>
    <xf numFmtId="0" fontId="7" fillId="17" borderId="19" xfId="0" applyFont="1" applyFill="1" applyBorder="1" applyAlignment="1">
      <alignment horizontal="center"/>
    </xf>
    <xf numFmtId="0" fontId="7" fillId="17" borderId="20" xfId="0" applyFont="1" applyFill="1" applyBorder="1" applyAlignment="1">
      <alignment horizontal="center"/>
    </xf>
    <xf numFmtId="0" fontId="7" fillId="17" borderId="17" xfId="0" applyFont="1" applyFill="1" applyBorder="1" applyAlignment="1">
      <alignment horizontal="center"/>
    </xf>
    <xf numFmtId="0" fontId="7" fillId="16" borderId="1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20" xfId="0" applyFont="1" applyBorder="1" applyAlignment="1">
      <alignment horizontal="center"/>
    </xf>
    <xf numFmtId="0" fontId="5" fillId="20" borderId="4" xfId="0" applyFont="1" applyFill="1" applyBorder="1" applyAlignment="1">
      <alignment horizontal="center"/>
    </xf>
    <xf numFmtId="0" fontId="0" fillId="20" borderId="26" xfId="0" applyFill="1" applyBorder="1" applyAlignment="1">
      <alignment horizontal="center"/>
    </xf>
    <xf numFmtId="0" fontId="0" fillId="23" borderId="26" xfId="0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0" fontId="0" fillId="20" borderId="25" xfId="0" applyFill="1" applyBorder="1" applyAlignment="1">
      <alignment horizontal="center"/>
    </xf>
    <xf numFmtId="0" fontId="14" fillId="19" borderId="4" xfId="0" applyFont="1" applyFill="1" applyBorder="1" applyAlignment="1">
      <alignment horizontal="center"/>
    </xf>
    <xf numFmtId="0" fontId="14" fillId="19" borderId="30" xfId="0" applyFont="1" applyFill="1" applyBorder="1" applyAlignment="1">
      <alignment horizontal="center"/>
    </xf>
    <xf numFmtId="0" fontId="15" fillId="19" borderId="22" xfId="0" applyFont="1" applyFill="1" applyBorder="1" applyAlignment="1">
      <alignment horizontal="center"/>
    </xf>
    <xf numFmtId="0" fontId="15" fillId="19" borderId="29" xfId="0" applyFon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16" fillId="21" borderId="14" xfId="0" applyFont="1" applyFill="1" applyBorder="1" applyAlignment="1" applyProtection="1">
      <alignment horizontal="center" vertical="top"/>
      <protection locked="0"/>
    </xf>
    <xf numFmtId="0" fontId="12" fillId="22" borderId="15" xfId="0" applyFont="1" applyFill="1" applyBorder="1" applyAlignment="1" applyProtection="1">
      <alignment horizontal="center" vertical="top"/>
      <protection locked="0"/>
    </xf>
    <xf numFmtId="0" fontId="12" fillId="21" borderId="14" xfId="0" applyFont="1" applyFill="1" applyBorder="1" applyAlignment="1" applyProtection="1">
      <alignment horizontal="center" vertical="top"/>
      <protection locked="0"/>
    </xf>
    <xf numFmtId="0" fontId="15" fillId="19" borderId="32" xfId="0" applyFont="1" applyFill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5" fillId="16" borderId="4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0" borderId="26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15" fillId="19" borderId="31" xfId="0" applyFont="1" applyFill="1" applyBorder="1" applyAlignment="1">
      <alignment horizontal="center"/>
    </xf>
    <xf numFmtId="0" fontId="15" fillId="19" borderId="39" xfId="0" applyFont="1" applyFill="1" applyBorder="1" applyAlignment="1">
      <alignment horizontal="center"/>
    </xf>
    <xf numFmtId="0" fontId="0" fillId="20" borderId="27" xfId="0" applyFill="1" applyBorder="1" applyAlignment="1">
      <alignment horizontal="center"/>
    </xf>
    <xf numFmtId="0" fontId="0" fillId="20" borderId="28" xfId="0" applyFill="1" applyBorder="1" applyAlignment="1">
      <alignment horizontal="center"/>
    </xf>
    <xf numFmtId="0" fontId="0" fillId="26" borderId="0" xfId="0" applyFill="1"/>
    <xf numFmtId="0" fontId="0" fillId="11" borderId="0" xfId="0" applyFill="1"/>
    <xf numFmtId="0" fontId="0" fillId="27" borderId="0" xfId="0" applyFill="1"/>
    <xf numFmtId="0" fontId="14" fillId="20" borderId="4" xfId="0" applyFont="1" applyFill="1" applyBorder="1" applyAlignment="1">
      <alignment horizontal="center"/>
    </xf>
    <xf numFmtId="0" fontId="17" fillId="20" borderId="4" xfId="0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8" fillId="20" borderId="4" xfId="0" applyFont="1" applyFill="1" applyBorder="1" applyAlignment="1">
      <alignment horizontal="center"/>
    </xf>
    <xf numFmtId="0" fontId="18" fillId="0" borderId="4" xfId="0" applyFont="1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0" fontId="14" fillId="19" borderId="42" xfId="0" applyFont="1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19" fillId="19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4" xfId="0" applyNumberFormat="1" applyBorder="1" applyAlignment="1">
      <alignment horizontal="center"/>
    </xf>
    <xf numFmtId="0" fontId="0" fillId="0" borderId="0" xfId="0" applyBorder="1" applyAlignment="1"/>
    <xf numFmtId="0" fontId="0" fillId="0" borderId="4" xfId="0" applyBorder="1"/>
    <xf numFmtId="0" fontId="15" fillId="19" borderId="4" xfId="0" applyFont="1" applyFill="1" applyBorder="1" applyAlignment="1">
      <alignment horizontal="center"/>
    </xf>
    <xf numFmtId="0" fontId="5" fillId="30" borderId="4" xfId="0" applyFont="1" applyFill="1" applyBorder="1" applyAlignment="1">
      <alignment horizontal="center"/>
    </xf>
    <xf numFmtId="49" fontId="0" fillId="31" borderId="4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0" fillId="15" borderId="4" xfId="0" applyFont="1" applyFill="1" applyBorder="1" applyAlignment="1">
      <alignment horizontal="center"/>
    </xf>
    <xf numFmtId="0" fontId="20" fillId="37" borderId="4" xfId="0" applyFont="1" applyFill="1" applyBorder="1" applyAlignment="1">
      <alignment horizontal="center"/>
    </xf>
    <xf numFmtId="0" fontId="20" fillId="39" borderId="4" xfId="0" applyFont="1" applyFill="1" applyBorder="1" applyAlignment="1">
      <alignment horizontal="center"/>
    </xf>
    <xf numFmtId="49" fontId="0" fillId="31" borderId="5" xfId="0" applyNumberFormat="1" applyFill="1" applyBorder="1" applyAlignment="1">
      <alignment horizontal="center"/>
    </xf>
    <xf numFmtId="49" fontId="0" fillId="31" borderId="44" xfId="0" applyNumberFormat="1" applyFill="1" applyBorder="1" applyAlignment="1">
      <alignment horizontal="center"/>
    </xf>
    <xf numFmtId="0" fontId="5" fillId="37" borderId="45" xfId="0" applyFont="1" applyFill="1" applyBorder="1" applyAlignment="1">
      <alignment horizontal="center"/>
    </xf>
    <xf numFmtId="49" fontId="0" fillId="31" borderId="43" xfId="0" applyNumberFormat="1" applyFill="1" applyBorder="1" applyAlignment="1">
      <alignment horizontal="center"/>
    </xf>
    <xf numFmtId="49" fontId="0" fillId="31" borderId="46" xfId="0" applyNumberFormat="1" applyFill="1" applyBorder="1" applyAlignment="1">
      <alignment horizontal="center"/>
    </xf>
    <xf numFmtId="0" fontId="13" fillId="37" borderId="16" xfId="0" applyFont="1" applyFill="1" applyBorder="1" applyAlignment="1">
      <alignment horizontal="center"/>
    </xf>
    <xf numFmtId="0" fontId="13" fillId="37" borderId="25" xfId="0" applyFont="1" applyFill="1" applyBorder="1" applyAlignment="1">
      <alignment horizontal="center"/>
    </xf>
    <xf numFmtId="0" fontId="13" fillId="37" borderId="27" xfId="0" applyFont="1" applyFill="1" applyBorder="1" applyAlignment="1">
      <alignment horizontal="center"/>
    </xf>
    <xf numFmtId="0" fontId="0" fillId="37" borderId="16" xfId="0" applyFill="1" applyBorder="1" applyAlignment="1">
      <alignment horizontal="center"/>
    </xf>
    <xf numFmtId="0" fontId="0" fillId="37" borderId="27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27" borderId="4" xfId="0" applyFont="1" applyFill="1" applyBorder="1"/>
    <xf numFmtId="0" fontId="5" fillId="27" borderId="43" xfId="0" applyFont="1" applyFill="1" applyBorder="1"/>
    <xf numFmtId="0" fontId="19" fillId="19" borderId="5" xfId="0" applyFont="1" applyFill="1" applyBorder="1" applyAlignment="1">
      <alignment horizontal="center" vertical="center"/>
    </xf>
    <xf numFmtId="0" fontId="0" fillId="0" borderId="50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5" borderId="5" xfId="0" applyFill="1" applyBorder="1" applyAlignment="1">
      <alignment horizontal="center"/>
    </xf>
    <xf numFmtId="0" fontId="19" fillId="19" borderId="26" xfId="0" applyFont="1" applyFill="1" applyBorder="1" applyAlignment="1">
      <alignment horizontal="center" vertical="center"/>
    </xf>
    <xf numFmtId="0" fontId="0" fillId="20" borderId="54" xfId="0" applyFill="1" applyBorder="1" applyAlignment="1">
      <alignment horizontal="center"/>
    </xf>
    <xf numFmtId="0" fontId="0" fillId="0" borderId="7" xfId="0" applyBorder="1"/>
    <xf numFmtId="0" fontId="0" fillId="28" borderId="5" xfId="0" applyFill="1" applyBorder="1" applyAlignment="1">
      <alignment horizontal="center"/>
    </xf>
    <xf numFmtId="0" fontId="5" fillId="23" borderId="14" xfId="0" applyFont="1" applyFill="1" applyBorder="1" applyAlignment="1">
      <alignment horizontal="center"/>
    </xf>
    <xf numFmtId="0" fontId="5" fillId="37" borderId="14" xfId="0" applyFont="1" applyFill="1" applyBorder="1" applyAlignment="1">
      <alignment horizontal="center"/>
    </xf>
    <xf numFmtId="49" fontId="5" fillId="0" borderId="5" xfId="0" applyNumberFormat="1" applyFont="1" applyFill="1" applyBorder="1" applyAlignment="1">
      <alignment horizontal="center"/>
    </xf>
    <xf numFmtId="49" fontId="5" fillId="0" borderId="4" xfId="0" applyNumberFormat="1" applyFont="1" applyFill="1" applyBorder="1" applyAlignment="1">
      <alignment horizontal="center"/>
    </xf>
    <xf numFmtId="49" fontId="5" fillId="0" borderId="44" xfId="0" applyNumberFormat="1" applyFont="1" applyFill="1" applyBorder="1" applyAlignment="1">
      <alignment horizontal="center"/>
    </xf>
    <xf numFmtId="49" fontId="5" fillId="0" borderId="43" xfId="0" applyNumberFormat="1" applyFont="1" applyFill="1" applyBorder="1" applyAlignment="1">
      <alignment horizontal="center"/>
    </xf>
    <xf numFmtId="49" fontId="5" fillId="0" borderId="46" xfId="0" applyNumberFormat="1" applyFont="1" applyFill="1" applyBorder="1" applyAlignment="1">
      <alignment horizontal="center"/>
    </xf>
    <xf numFmtId="0" fontId="5" fillId="26" borderId="5" xfId="0" applyFont="1" applyFill="1" applyBorder="1" applyAlignment="1">
      <alignment horizontal="center"/>
    </xf>
    <xf numFmtId="0" fontId="5" fillId="26" borderId="26" xfId="0" applyFont="1" applyFill="1" applyBorder="1" applyAlignment="1">
      <alignment horizontal="center"/>
    </xf>
    <xf numFmtId="0" fontId="5" fillId="0" borderId="0" xfId="0" applyFont="1"/>
    <xf numFmtId="0" fontId="5" fillId="0" borderId="58" xfId="0" applyFont="1" applyBorder="1"/>
    <xf numFmtId="0" fontId="5" fillId="0" borderId="55" xfId="0" applyFont="1" applyBorder="1"/>
    <xf numFmtId="0" fontId="5" fillId="0" borderId="57" xfId="0" applyFont="1" applyBorder="1"/>
    <xf numFmtId="0" fontId="5" fillId="29" borderId="5" xfId="0" applyFont="1" applyFill="1" applyBorder="1" applyAlignment="1">
      <alignment horizontal="center"/>
    </xf>
    <xf numFmtId="0" fontId="5" fillId="29" borderId="26" xfId="0" applyFont="1" applyFill="1" applyBorder="1" applyAlignment="1">
      <alignment horizontal="center"/>
    </xf>
    <xf numFmtId="166" fontId="5" fillId="11" borderId="5" xfId="0" applyNumberFormat="1" applyFont="1" applyFill="1" applyBorder="1" applyAlignment="1">
      <alignment horizontal="center"/>
    </xf>
    <xf numFmtId="166" fontId="5" fillId="11" borderId="26" xfId="0" applyNumberFormat="1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2" fontId="5" fillId="37" borderId="20" xfId="0" applyNumberFormat="1" applyFont="1" applyFill="1" applyBorder="1" applyAlignment="1">
      <alignment horizontal="center"/>
    </xf>
    <xf numFmtId="2" fontId="5" fillId="23" borderId="20" xfId="0" applyNumberFormat="1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37" borderId="2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0" fillId="23" borderId="26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20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23" fillId="37" borderId="14" xfId="0" applyFont="1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15" borderId="4" xfId="0" applyFill="1" applyBorder="1" applyAlignment="1">
      <alignment horizontal="center" vertical="center"/>
    </xf>
    <xf numFmtId="0" fontId="5" fillId="23" borderId="4" xfId="0" applyFont="1" applyFill="1" applyBorder="1"/>
    <xf numFmtId="0" fontId="5" fillId="40" borderId="4" xfId="0" applyFont="1" applyFill="1" applyBorder="1" applyAlignment="1">
      <alignment horizontal="center" vertical="center"/>
    </xf>
    <xf numFmtId="167" fontId="5" fillId="40" borderId="4" xfId="0" applyNumberFormat="1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167" fontId="5" fillId="20" borderId="4" xfId="0" applyNumberFormat="1" applyFont="1" applyFill="1" applyBorder="1" applyAlignment="1">
      <alignment horizontal="center" vertical="center"/>
    </xf>
    <xf numFmtId="0" fontId="5" fillId="23" borderId="4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38" borderId="4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41" borderId="4" xfId="0" applyFont="1" applyFill="1" applyBorder="1"/>
    <xf numFmtId="0" fontId="0" fillId="40" borderId="4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38" borderId="4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29" borderId="4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5" fillId="29" borderId="4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5" fillId="23" borderId="4" xfId="0" applyNumberFormat="1" applyFont="1" applyFill="1" applyBorder="1" applyAlignment="1" applyProtection="1">
      <alignment horizontal="center" vertical="center"/>
    </xf>
    <xf numFmtId="0" fontId="25" fillId="36" borderId="4" xfId="0" applyNumberFormat="1" applyFont="1" applyFill="1" applyBorder="1" applyAlignment="1" applyProtection="1">
      <alignment horizontal="center" vertical="center"/>
    </xf>
    <xf numFmtId="0" fontId="0" fillId="36" borderId="22" xfId="0" applyFill="1" applyBorder="1" applyAlignment="1"/>
    <xf numFmtId="0" fontId="0" fillId="36" borderId="4" xfId="0" applyFill="1" applyBorder="1"/>
    <xf numFmtId="168" fontId="5" fillId="27" borderId="4" xfId="6" applyNumberFormat="1" applyFont="1" applyFill="1" applyBorder="1" applyAlignment="1">
      <alignment horizontal="center" vertical="center"/>
    </xf>
    <xf numFmtId="0" fontId="5" fillId="42" borderId="4" xfId="0" applyFont="1" applyFill="1" applyBorder="1" applyAlignment="1">
      <alignment horizontal="left" vertical="top"/>
    </xf>
    <xf numFmtId="0" fontId="27" fillId="20" borderId="4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167" fontId="27" fillId="20" borderId="4" xfId="0" applyNumberFormat="1" applyFont="1" applyFill="1" applyBorder="1" applyAlignment="1">
      <alignment horizontal="center" vertical="center"/>
    </xf>
    <xf numFmtId="168" fontId="27" fillId="20" borderId="4" xfId="6" applyNumberFormat="1" applyFont="1" applyFill="1" applyBorder="1" applyAlignment="1">
      <alignment horizontal="center" vertical="center"/>
    </xf>
    <xf numFmtId="0" fontId="27" fillId="0" borderId="4" xfId="0" applyNumberFormat="1" applyFont="1" applyFill="1" applyBorder="1" applyAlignment="1">
      <alignment horizontal="center" vertical="center"/>
    </xf>
    <xf numFmtId="168" fontId="5" fillId="0" borderId="4" xfId="6" applyNumberFormat="1" applyFont="1" applyBorder="1" applyAlignment="1">
      <alignment horizontal="center" vertical="center"/>
    </xf>
    <xf numFmtId="0" fontId="0" fillId="38" borderId="20" xfId="0" applyFill="1" applyBorder="1" applyAlignment="1">
      <alignment wrapText="1"/>
    </xf>
    <xf numFmtId="0" fontId="0" fillId="0" borderId="25" xfId="0" applyFill="1" applyBorder="1" applyAlignment="1">
      <alignment horizontal="center"/>
    </xf>
    <xf numFmtId="0" fontId="5" fillId="18" borderId="25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16" borderId="25" xfId="0" applyFont="1" applyFill="1" applyBorder="1" applyAlignment="1">
      <alignment horizontal="center"/>
    </xf>
    <xf numFmtId="0" fontId="0" fillId="0" borderId="59" xfId="0" applyBorder="1"/>
    <xf numFmtId="0" fontId="0" fillId="20" borderId="55" xfId="0" applyFill="1" applyBorder="1" applyAlignment="1">
      <alignment horizontal="center"/>
    </xf>
    <xf numFmtId="0" fontId="0" fillId="0" borderId="55" xfId="0" applyFill="1" applyBorder="1" applyAlignment="1">
      <alignment horizontal="center"/>
    </xf>
    <xf numFmtId="0" fontId="0" fillId="42" borderId="4" xfId="0" applyFill="1" applyBorder="1" applyAlignment="1">
      <alignment horizontal="center" vertical="center"/>
    </xf>
    <xf numFmtId="0" fontId="24" fillId="37" borderId="20" xfId="0" applyFont="1" applyFill="1" applyBorder="1" applyAlignment="1">
      <alignment horizontal="center"/>
    </xf>
    <xf numFmtId="166" fontId="0" fillId="19" borderId="4" xfId="0" applyNumberForma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center"/>
    </xf>
    <xf numFmtId="0" fontId="5" fillId="37" borderId="20" xfId="0" applyFont="1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5" fillId="15" borderId="4" xfId="0" applyFont="1" applyFill="1" applyBorder="1"/>
    <xf numFmtId="0" fontId="5" fillId="14" borderId="5" xfId="0" applyFont="1" applyFill="1" applyBorder="1" applyAlignment="1">
      <alignment horizontal="center" vertical="center"/>
    </xf>
    <xf numFmtId="9" fontId="5" fillId="14" borderId="26" xfId="7" applyFont="1" applyFill="1" applyBorder="1" applyAlignment="1">
      <alignment horizontal="center" vertical="center"/>
    </xf>
    <xf numFmtId="0" fontId="0" fillId="0" borderId="0" xfId="0" pivotButton="1"/>
    <xf numFmtId="0" fontId="0" fillId="23" borderId="4" xfId="0" applyFill="1" applyBorder="1" applyAlignment="1">
      <alignment horizontal="left"/>
    </xf>
    <xf numFmtId="0" fontId="5" fillId="36" borderId="4" xfId="0" applyNumberFormat="1" applyFont="1" applyFill="1" applyBorder="1" applyAlignment="1">
      <alignment horizontal="center" vertical="center"/>
    </xf>
    <xf numFmtId="0" fontId="0" fillId="36" borderId="4" xfId="0" applyNumberFormat="1" applyFill="1" applyBorder="1" applyAlignment="1">
      <alignment horizontal="center" vertical="center"/>
    </xf>
    <xf numFmtId="0" fontId="5" fillId="23" borderId="4" xfId="0" pivotButton="1" applyFont="1" applyFill="1" applyBorder="1" applyAlignment="1">
      <alignment horizontal="center" vertical="center"/>
    </xf>
    <xf numFmtId="0" fontId="5" fillId="36" borderId="4" xfId="0" pivotButton="1" applyNumberFormat="1" applyFont="1" applyFill="1" applyBorder="1" applyAlignment="1">
      <alignment horizontal="center" vertical="center"/>
    </xf>
    <xf numFmtId="0" fontId="5" fillId="19" borderId="5" xfId="0" applyFont="1" applyFill="1" applyBorder="1" applyAlignment="1">
      <alignment horizontal="center"/>
    </xf>
    <xf numFmtId="0" fontId="5" fillId="19" borderId="60" xfId="0" applyFont="1" applyFill="1" applyBorder="1" applyAlignment="1">
      <alignment horizontal="center"/>
    </xf>
    <xf numFmtId="0" fontId="5" fillId="19" borderId="25" xfId="0" applyFont="1" applyFill="1" applyBorder="1" applyAlignment="1">
      <alignment horizontal="center"/>
    </xf>
    <xf numFmtId="0" fontId="5" fillId="23" borderId="26" xfId="0" applyFont="1" applyFill="1" applyBorder="1" applyAlignment="1">
      <alignment horizontal="center"/>
    </xf>
    <xf numFmtId="0" fontId="5" fillId="23" borderId="60" xfId="0" applyFont="1" applyFill="1" applyBorder="1" applyAlignment="1">
      <alignment horizontal="center"/>
    </xf>
    <xf numFmtId="0" fontId="5" fillId="23" borderId="55" xfId="0" applyFont="1" applyFill="1" applyBorder="1" applyAlignment="1">
      <alignment horizontal="center"/>
    </xf>
    <xf numFmtId="1" fontId="5" fillId="19" borderId="5" xfId="0" applyNumberFormat="1" applyFont="1" applyFill="1" applyBorder="1" applyAlignment="1">
      <alignment horizontal="center" vertical="center"/>
    </xf>
    <xf numFmtId="1" fontId="5" fillId="23" borderId="26" xfId="0" applyNumberFormat="1" applyFont="1" applyFill="1" applyBorder="1" applyAlignment="1">
      <alignment horizontal="center" vertical="center"/>
    </xf>
    <xf numFmtId="1" fontId="5" fillId="23" borderId="60" xfId="0" applyNumberFormat="1" applyFont="1" applyFill="1" applyBorder="1" applyAlignment="1">
      <alignment horizontal="center" vertical="center"/>
    </xf>
    <xf numFmtId="1" fontId="5" fillId="19" borderId="25" xfId="0" applyNumberFormat="1" applyFont="1" applyFill="1" applyBorder="1" applyAlignment="1">
      <alignment horizontal="center" vertical="center"/>
    </xf>
    <xf numFmtId="1" fontId="5" fillId="23" borderId="55" xfId="0" applyNumberFormat="1" applyFont="1" applyFill="1" applyBorder="1" applyAlignment="1">
      <alignment horizontal="center" vertical="center"/>
    </xf>
    <xf numFmtId="2" fontId="5" fillId="23" borderId="4" xfId="0" applyNumberFormat="1" applyFont="1" applyFill="1" applyBorder="1" applyAlignment="1">
      <alignment horizontal="center" vertical="center"/>
    </xf>
    <xf numFmtId="166" fontId="5" fillId="23" borderId="4" xfId="0" applyNumberFormat="1" applyFont="1" applyFill="1" applyBorder="1" applyAlignment="1">
      <alignment horizontal="center" vertical="center"/>
    </xf>
    <xf numFmtId="9" fontId="5" fillId="19" borderId="5" xfId="7" applyFont="1" applyFill="1" applyBorder="1" applyAlignment="1">
      <alignment horizontal="center" vertical="center"/>
    </xf>
    <xf numFmtId="0" fontId="5" fillId="38" borderId="26" xfId="0" applyFont="1" applyFill="1" applyBorder="1" applyAlignment="1">
      <alignment horizontal="center" vertical="center"/>
    </xf>
    <xf numFmtId="1" fontId="5" fillId="19" borderId="55" xfId="0" applyNumberFormat="1" applyFont="1" applyFill="1" applyBorder="1" applyAlignment="1">
      <alignment horizontal="center" vertical="center"/>
    </xf>
    <xf numFmtId="9" fontId="5" fillId="23" borderId="26" xfId="7" applyFont="1" applyFill="1" applyBorder="1" applyAlignment="1">
      <alignment horizontal="center" vertical="center"/>
    </xf>
    <xf numFmtId="9" fontId="5" fillId="19" borderId="60" xfId="7" applyFont="1" applyFill="1" applyBorder="1" applyAlignment="1">
      <alignment horizontal="center" vertical="center"/>
    </xf>
    <xf numFmtId="9" fontId="5" fillId="23" borderId="60" xfId="7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5" fillId="26" borderId="26" xfId="0" applyFont="1" applyFill="1" applyBorder="1"/>
    <xf numFmtId="0" fontId="5" fillId="11" borderId="26" xfId="0" applyFont="1" applyFill="1" applyBorder="1"/>
    <xf numFmtId="0" fontId="5" fillId="32" borderId="26" xfId="0" applyFont="1" applyFill="1" applyBorder="1"/>
    <xf numFmtId="0" fontId="5" fillId="12" borderId="26" xfId="0" applyFont="1" applyFill="1" applyBorder="1"/>
    <xf numFmtId="0" fontId="5" fillId="15" borderId="26" xfId="0" applyFont="1" applyFill="1" applyBorder="1"/>
    <xf numFmtId="0" fontId="5" fillId="29" borderId="26" xfId="0" applyFont="1" applyFill="1" applyBorder="1"/>
    <xf numFmtId="0" fontId="5" fillId="18" borderId="26" xfId="0" applyFont="1" applyFill="1" applyBorder="1"/>
    <xf numFmtId="0" fontId="5" fillId="0" borderId="26" xfId="0" applyFont="1" applyBorder="1"/>
    <xf numFmtId="0" fontId="5" fillId="16" borderId="22" xfId="0" applyFont="1" applyFill="1" applyBorder="1"/>
    <xf numFmtId="0" fontId="5" fillId="14" borderId="26" xfId="0" applyFont="1" applyFill="1" applyBorder="1"/>
    <xf numFmtId="0" fontId="0" fillId="20" borderId="0" xfId="0" applyFill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9" fontId="5" fillId="0" borderId="55" xfId="0" applyNumberFormat="1" applyFont="1" applyBorder="1" applyAlignment="1">
      <alignment horizontal="center"/>
    </xf>
    <xf numFmtId="9" fontId="5" fillId="16" borderId="55" xfId="0" applyNumberFormat="1" applyFont="1" applyFill="1" applyBorder="1" applyAlignment="1">
      <alignment horizontal="center"/>
    </xf>
    <xf numFmtId="9" fontId="5" fillId="18" borderId="55" xfId="0" applyNumberFormat="1" applyFont="1" applyFill="1" applyBorder="1" applyAlignment="1">
      <alignment horizontal="center"/>
    </xf>
    <xf numFmtId="9" fontId="5" fillId="16" borderId="26" xfId="0" applyNumberFormat="1" applyFont="1" applyFill="1" applyBorder="1" applyAlignment="1">
      <alignment horizontal="center"/>
    </xf>
    <xf numFmtId="9" fontId="5" fillId="18" borderId="5" xfId="0" applyNumberFormat="1" applyFont="1" applyFill="1" applyBorder="1" applyAlignment="1">
      <alignment horizontal="center"/>
    </xf>
    <xf numFmtId="9" fontId="5" fillId="0" borderId="5" xfId="0" applyNumberFormat="1" applyFont="1" applyBorder="1" applyAlignment="1">
      <alignment horizontal="center"/>
    </xf>
    <xf numFmtId="9" fontId="5" fillId="16" borderId="5" xfId="0" applyNumberFormat="1" applyFont="1" applyFill="1" applyBorder="1" applyAlignment="1">
      <alignment horizontal="center"/>
    </xf>
    <xf numFmtId="0" fontId="0" fillId="15" borderId="4" xfId="0" applyFill="1" applyBorder="1" applyAlignment="1">
      <alignment horizontal="center" vertical="center"/>
    </xf>
    <xf numFmtId="0" fontId="5" fillId="38" borderId="4" xfId="0" applyFont="1" applyFill="1" applyBorder="1" applyAlignment="1">
      <alignment horizontal="center" vertical="center"/>
    </xf>
    <xf numFmtId="49" fontId="5" fillId="0" borderId="50" xfId="0" applyNumberFormat="1" applyFont="1" applyFill="1" applyBorder="1" applyAlignment="1">
      <alignment horizontal="center"/>
    </xf>
    <xf numFmtId="0" fontId="5" fillId="37" borderId="4" xfId="0" applyFont="1" applyFill="1" applyBorder="1"/>
    <xf numFmtId="0" fontId="5" fillId="27" borderId="0" xfId="0" applyFont="1" applyFill="1" applyAlignment="1">
      <alignment horizontal="left" vertical="center" wrapText="1"/>
    </xf>
    <xf numFmtId="0" fontId="5" fillId="27" borderId="4" xfId="0" applyFont="1" applyFill="1" applyBorder="1" applyAlignment="1">
      <alignment horizontal="left" vertical="center" wrapText="1"/>
    </xf>
    <xf numFmtId="0" fontId="0" fillId="0" borderId="0" xfId="0" applyBorder="1"/>
    <xf numFmtId="0" fontId="0" fillId="0" borderId="4" xfId="0" applyFill="1" applyBorder="1"/>
    <xf numFmtId="0" fontId="5" fillId="19" borderId="7" xfId="0" applyFont="1" applyFill="1" applyBorder="1"/>
    <xf numFmtId="0" fontId="0" fillId="19" borderId="4" xfId="0" applyFill="1" applyBorder="1"/>
    <xf numFmtId="0" fontId="5" fillId="36" borderId="4" xfId="0" applyFont="1" applyFill="1" applyBorder="1" applyAlignment="1">
      <alignment horizontal="center" vertical="center"/>
    </xf>
    <xf numFmtId="0" fontId="0" fillId="29" borderId="4" xfId="0" applyFill="1" applyBorder="1"/>
    <xf numFmtId="0" fontId="0" fillId="18" borderId="4" xfId="0" applyFill="1" applyBorder="1"/>
    <xf numFmtId="9" fontId="0" fillId="40" borderId="4" xfId="0" applyNumberFormat="1" applyFill="1" applyBorder="1" applyAlignment="1">
      <alignment horizontal="center" vertical="center"/>
    </xf>
    <xf numFmtId="9" fontId="0" fillId="20" borderId="4" xfId="0" applyNumberFormat="1" applyFill="1" applyBorder="1" applyAlignment="1">
      <alignment horizontal="center" vertical="center"/>
    </xf>
    <xf numFmtId="0" fontId="0" fillId="29" borderId="5" xfId="0" applyFill="1" applyBorder="1"/>
    <xf numFmtId="0" fontId="0" fillId="0" borderId="5" xfId="0" applyBorder="1"/>
    <xf numFmtId="0" fontId="0" fillId="29" borderId="26" xfId="0" applyFill="1" applyBorder="1"/>
    <xf numFmtId="0" fontId="0" fillId="18" borderId="26" xfId="0" applyFill="1" applyBorder="1"/>
    <xf numFmtId="0" fontId="0" fillId="0" borderId="22" xfId="0" applyBorder="1"/>
    <xf numFmtId="0" fontId="0" fillId="18" borderId="55" xfId="0" applyFill="1" applyBorder="1"/>
    <xf numFmtId="0" fontId="0" fillId="0" borderId="28" xfId="0" applyBorder="1"/>
    <xf numFmtId="0" fontId="5" fillId="13" borderId="4" xfId="0" applyFont="1" applyFill="1" applyBorder="1"/>
    <xf numFmtId="0" fontId="5" fillId="27" borderId="4" xfId="0" applyFont="1" applyFill="1" applyBorder="1" applyAlignment="1">
      <alignment horizontal="left" vertical="center"/>
    </xf>
    <xf numFmtId="0" fontId="5" fillId="27" borderId="61" xfId="0" applyFont="1" applyFill="1" applyBorder="1" applyAlignment="1">
      <alignment horizontal="left" vertical="center"/>
    </xf>
    <xf numFmtId="9" fontId="0" fillId="0" borderId="0" xfId="7" applyFont="1"/>
    <xf numFmtId="167" fontId="0" fillId="0" borderId="0" xfId="7" applyNumberFormat="1" applyFont="1"/>
    <xf numFmtId="0" fontId="5" fillId="12" borderId="4" xfId="0" applyFont="1" applyFill="1" applyBorder="1" applyAlignment="1">
      <alignment horizontal="center" vertical="center"/>
    </xf>
    <xf numFmtId="0" fontId="5" fillId="26" borderId="4" xfId="0" applyFont="1" applyFill="1" applyBorder="1" applyAlignment="1">
      <alignment horizontal="center" vertical="center"/>
    </xf>
    <xf numFmtId="167" fontId="0" fillId="0" borderId="4" xfId="7" applyNumberFormat="1" applyFont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26" borderId="26" xfId="0" applyFont="1" applyFill="1" applyBorder="1" applyAlignment="1">
      <alignment horizontal="center" vertical="center"/>
    </xf>
    <xf numFmtId="167" fontId="0" fillId="0" borderId="26" xfId="7" applyNumberFormat="1" applyFont="1" applyBorder="1" applyAlignment="1">
      <alignment horizontal="center" vertical="center"/>
    </xf>
    <xf numFmtId="9" fontId="0" fillId="0" borderId="26" xfId="7" applyFont="1" applyBorder="1" applyAlignment="1">
      <alignment horizontal="center" vertical="center"/>
    </xf>
    <xf numFmtId="167" fontId="0" fillId="0" borderId="55" xfId="7" applyNumberFormat="1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" fillId="38" borderId="4" xfId="0" applyFont="1" applyFill="1" applyBorder="1" applyAlignment="1">
      <alignment horizontal="center" vertical="center"/>
    </xf>
    <xf numFmtId="0" fontId="5" fillId="38" borderId="4" xfId="0" applyFont="1" applyFill="1" applyBorder="1" applyAlignment="1">
      <alignment horizontal="center" vertical="center"/>
    </xf>
    <xf numFmtId="169" fontId="5" fillId="0" borderId="4" xfId="0" applyNumberFormat="1" applyFont="1" applyFill="1" applyBorder="1" applyAlignment="1">
      <alignment horizontal="center" vertical="center"/>
    </xf>
    <xf numFmtId="169" fontId="5" fillId="16" borderId="4" xfId="0" applyNumberFormat="1" applyFont="1" applyFill="1" applyBorder="1" applyAlignment="1">
      <alignment horizontal="center" vertical="center"/>
    </xf>
    <xf numFmtId="169" fontId="5" fillId="18" borderId="4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5" fillId="32" borderId="22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66" fontId="0" fillId="0" borderId="22" xfId="0" applyNumberFormat="1" applyBorder="1" applyAlignment="1">
      <alignment horizontal="center" vertical="center"/>
    </xf>
    <xf numFmtId="166" fontId="0" fillId="0" borderId="56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49" fontId="5" fillId="18" borderId="5" xfId="0" applyNumberFormat="1" applyFont="1" applyFill="1" applyBorder="1" applyAlignment="1">
      <alignment horizontal="center"/>
    </xf>
    <xf numFmtId="49" fontId="5" fillId="16" borderId="5" xfId="0" applyNumberFormat="1" applyFont="1" applyFill="1" applyBorder="1" applyAlignment="1">
      <alignment horizontal="center"/>
    </xf>
    <xf numFmtId="49" fontId="5" fillId="18" borderId="4" xfId="0" applyNumberFormat="1" applyFont="1" applyFill="1" applyBorder="1" applyAlignment="1">
      <alignment horizontal="center"/>
    </xf>
    <xf numFmtId="49" fontId="5" fillId="16" borderId="50" xfId="0" applyNumberFormat="1" applyFont="1" applyFill="1" applyBorder="1" applyAlignment="1">
      <alignment horizontal="center"/>
    </xf>
    <xf numFmtId="49" fontId="5" fillId="18" borderId="50" xfId="0" applyNumberFormat="1" applyFont="1" applyFill="1" applyBorder="1" applyAlignment="1">
      <alignment horizontal="center"/>
    </xf>
    <xf numFmtId="49" fontId="5" fillId="16" borderId="4" xfId="0" applyNumberFormat="1" applyFont="1" applyFill="1" applyBorder="1" applyAlignment="1">
      <alignment horizontal="center"/>
    </xf>
    <xf numFmtId="169" fontId="5" fillId="31" borderId="4" xfId="0" applyNumberFormat="1" applyFont="1" applyFill="1" applyBorder="1" applyAlignment="1">
      <alignment horizontal="center" vertical="center"/>
    </xf>
    <xf numFmtId="49" fontId="5" fillId="16" borderId="43" xfId="0" applyNumberFormat="1" applyFont="1" applyFill="1" applyBorder="1" applyAlignment="1">
      <alignment horizontal="center"/>
    </xf>
    <xf numFmtId="49" fontId="5" fillId="18" borderId="43" xfId="0" applyNumberFormat="1" applyFont="1" applyFill="1" applyBorder="1" applyAlignment="1">
      <alignment horizontal="center"/>
    </xf>
    <xf numFmtId="49" fontId="23" fillId="18" borderId="4" xfId="0" applyNumberFormat="1" applyFont="1" applyFill="1" applyBorder="1" applyAlignment="1">
      <alignment horizontal="center"/>
    </xf>
    <xf numFmtId="49" fontId="5" fillId="18" borderId="44" xfId="0" applyNumberFormat="1" applyFont="1" applyFill="1" applyBorder="1" applyAlignment="1">
      <alignment horizontal="center"/>
    </xf>
    <xf numFmtId="49" fontId="5" fillId="16" borderId="44" xfId="0" applyNumberFormat="1" applyFont="1" applyFill="1" applyBorder="1" applyAlignment="1">
      <alignment horizontal="center"/>
    </xf>
    <xf numFmtId="49" fontId="5" fillId="18" borderId="46" xfId="0" applyNumberFormat="1" applyFont="1" applyFill="1" applyBorder="1" applyAlignment="1">
      <alignment horizontal="center"/>
    </xf>
    <xf numFmtId="166" fontId="0" fillId="0" borderId="4" xfId="0" applyNumberFormat="1" applyBorder="1" applyAlignment="1">
      <alignment horizontal="center" vertical="center"/>
    </xf>
    <xf numFmtId="49" fontId="5" fillId="16" borderId="46" xfId="0" applyNumberFormat="1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9" fillId="9" borderId="10" xfId="0" applyFont="1" applyFill="1" applyBorder="1" applyAlignment="1" applyProtection="1">
      <alignment horizontal="center" wrapText="1"/>
      <protection locked="0"/>
    </xf>
    <xf numFmtId="0" fontId="9" fillId="9" borderId="21" xfId="0" applyFont="1" applyFill="1" applyBorder="1" applyAlignment="1" applyProtection="1">
      <alignment horizontal="center" wrapText="1"/>
      <protection locked="0"/>
    </xf>
    <xf numFmtId="0" fontId="9" fillId="9" borderId="11" xfId="0" applyFont="1" applyFill="1" applyBorder="1" applyAlignment="1" applyProtection="1">
      <alignment horizontal="center"/>
      <protection locked="0"/>
    </xf>
    <xf numFmtId="0" fontId="6" fillId="10" borderId="10" xfId="0" applyFont="1" applyFill="1" applyBorder="1" applyAlignment="1" applyProtection="1">
      <alignment horizontal="center"/>
      <protection locked="0"/>
    </xf>
    <xf numFmtId="0" fontId="6" fillId="10" borderId="21" xfId="0" applyFont="1" applyFill="1" applyBorder="1" applyAlignment="1" applyProtection="1">
      <alignment horizontal="center"/>
      <protection locked="0"/>
    </xf>
    <xf numFmtId="0" fontId="6" fillId="10" borderId="11" xfId="0" applyFont="1" applyFill="1" applyBorder="1" applyAlignment="1" applyProtection="1">
      <alignment horizontal="center"/>
      <protection locked="0"/>
    </xf>
    <xf numFmtId="0" fontId="6" fillId="8" borderId="10" xfId="0" applyFont="1" applyFill="1" applyBorder="1" applyAlignment="1" applyProtection="1">
      <alignment horizontal="center" wrapText="1"/>
      <protection locked="0"/>
    </xf>
    <xf numFmtId="0" fontId="6" fillId="8" borderId="21" xfId="0" applyFont="1" applyFill="1" applyBorder="1" applyAlignment="1" applyProtection="1">
      <alignment horizontal="center" wrapText="1"/>
      <protection locked="0"/>
    </xf>
    <xf numFmtId="0" fontId="6" fillId="8" borderId="11" xfId="0" applyFont="1" applyFill="1" applyBorder="1" applyAlignment="1" applyProtection="1">
      <alignment horizontal="center"/>
      <protection locked="0"/>
    </xf>
    <xf numFmtId="0" fontId="7" fillId="0" borderId="1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6" fillId="2" borderId="8" xfId="0" applyFont="1" applyFill="1" applyBorder="1" applyAlignment="1" applyProtection="1">
      <alignment horizontal="center"/>
      <protection locked="0"/>
    </xf>
    <xf numFmtId="0" fontId="6" fillId="2" borderId="21" xfId="0" applyFont="1" applyFill="1" applyBorder="1" applyAlignment="1" applyProtection="1">
      <alignment horizontal="center"/>
      <protection locked="0"/>
    </xf>
    <xf numFmtId="0" fontId="6" fillId="2" borderId="9" xfId="0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0" fontId="6" fillId="3" borderId="21" xfId="0" applyFont="1" applyFill="1" applyBorder="1" applyAlignment="1" applyProtection="1">
      <alignment horizontal="center"/>
      <protection locked="0"/>
    </xf>
    <xf numFmtId="0" fontId="6" fillId="3" borderId="9" xfId="0" applyFont="1" applyFill="1" applyBorder="1" applyAlignment="1" applyProtection="1">
      <alignment horizontal="center"/>
      <protection locked="0"/>
    </xf>
    <xf numFmtId="0" fontId="6" fillId="24" borderId="8" xfId="0" applyFont="1" applyFill="1" applyBorder="1" applyAlignment="1" applyProtection="1">
      <alignment horizontal="center"/>
      <protection locked="0"/>
    </xf>
    <xf numFmtId="0" fontId="6" fillId="24" borderId="21" xfId="0" applyFont="1" applyFill="1" applyBorder="1" applyAlignment="1" applyProtection="1">
      <alignment horizontal="center"/>
      <protection locked="0"/>
    </xf>
    <xf numFmtId="0" fontId="6" fillId="24" borderId="9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4" borderId="21" xfId="0" applyFont="1" applyFill="1" applyBorder="1" applyAlignment="1" applyProtection="1">
      <alignment horizontal="center"/>
      <protection locked="0"/>
    </xf>
    <xf numFmtId="0" fontId="6" fillId="4" borderId="9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5" borderId="21" xfId="0" applyFont="1" applyFill="1" applyBorder="1" applyAlignment="1" applyProtection="1">
      <alignment horizontal="center"/>
      <protection locked="0"/>
    </xf>
    <xf numFmtId="0" fontId="6" fillId="5" borderId="9" xfId="0" applyFont="1" applyFill="1" applyBorder="1" applyAlignment="1" applyProtection="1">
      <alignment horizontal="center"/>
      <protection locked="0"/>
    </xf>
    <xf numFmtId="0" fontId="9" fillId="6" borderId="8" xfId="0" applyFont="1" applyFill="1" applyBorder="1" applyAlignment="1" applyProtection="1">
      <alignment horizontal="center" wrapText="1"/>
      <protection locked="0"/>
    </xf>
    <xf numFmtId="0" fontId="9" fillId="6" borderId="21" xfId="0" applyFont="1" applyFill="1" applyBorder="1" applyAlignment="1" applyProtection="1">
      <alignment horizontal="center" wrapText="1"/>
      <protection locked="0"/>
    </xf>
    <xf numFmtId="0" fontId="9" fillId="6" borderId="9" xfId="0" applyFont="1" applyFill="1" applyBorder="1" applyAlignment="1" applyProtection="1">
      <alignment horizontal="center"/>
      <protection locked="0"/>
    </xf>
    <xf numFmtId="0" fontId="6" fillId="7" borderId="10" xfId="0" applyFont="1" applyFill="1" applyBorder="1" applyAlignment="1" applyProtection="1">
      <alignment horizontal="center"/>
      <protection locked="0"/>
    </xf>
    <xf numFmtId="0" fontId="6" fillId="7" borderId="21" xfId="0" applyFont="1" applyFill="1" applyBorder="1" applyAlignment="1" applyProtection="1">
      <alignment horizontal="center"/>
      <protection locked="0"/>
    </xf>
    <xf numFmtId="0" fontId="6" fillId="7" borderId="11" xfId="0" applyFont="1" applyFill="1" applyBorder="1" applyAlignment="1" applyProtection="1">
      <alignment horizontal="center"/>
      <protection locked="0"/>
    </xf>
    <xf numFmtId="0" fontId="5" fillId="38" borderId="28" xfId="0" applyFont="1" applyFill="1" applyBorder="1" applyAlignment="1">
      <alignment horizontal="center" vertical="center"/>
    </xf>
    <xf numFmtId="0" fontId="5" fillId="38" borderId="17" xfId="0" applyFont="1" applyFill="1" applyBorder="1" applyAlignment="1">
      <alignment horizontal="center" vertical="center"/>
    </xf>
    <xf numFmtId="0" fontId="6" fillId="7" borderId="23" xfId="0" applyFont="1" applyFill="1" applyBorder="1" applyAlignment="1" applyProtection="1">
      <alignment horizontal="center" vertical="center"/>
      <protection locked="0"/>
    </xf>
    <xf numFmtId="0" fontId="6" fillId="8" borderId="23" xfId="0" applyFont="1" applyFill="1" applyBorder="1" applyAlignment="1" applyProtection="1">
      <alignment horizontal="center" vertical="center" wrapText="1"/>
      <protection locked="0"/>
    </xf>
    <xf numFmtId="0" fontId="9" fillId="9" borderId="23" xfId="0" applyFont="1" applyFill="1" applyBorder="1" applyAlignment="1" applyProtection="1">
      <alignment horizontal="center" vertical="center" wrapText="1"/>
      <protection locked="0"/>
    </xf>
    <xf numFmtId="0" fontId="6" fillId="10" borderId="23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3" borderId="23" xfId="0" applyFont="1" applyFill="1" applyBorder="1" applyAlignment="1" applyProtection="1">
      <alignment horizontal="center" vertical="center"/>
      <protection locked="0"/>
    </xf>
    <xf numFmtId="0" fontId="6" fillId="24" borderId="23" xfId="0" applyFont="1" applyFill="1" applyBorder="1" applyAlignment="1" applyProtection="1">
      <alignment horizontal="center" vertical="center"/>
      <protection locked="0"/>
    </xf>
    <xf numFmtId="0" fontId="6" fillId="4" borderId="23" xfId="0" applyFont="1" applyFill="1" applyBorder="1" applyAlignment="1" applyProtection="1">
      <alignment horizontal="center" vertical="center"/>
      <protection locked="0"/>
    </xf>
    <xf numFmtId="0" fontId="6" fillId="5" borderId="23" xfId="0" applyFont="1" applyFill="1" applyBorder="1" applyAlignment="1" applyProtection="1">
      <alignment horizontal="center" vertical="center"/>
      <protection locked="0"/>
    </xf>
    <xf numFmtId="0" fontId="9" fillId="6" borderId="23" xfId="0" applyFont="1" applyFill="1" applyBorder="1" applyAlignment="1" applyProtection="1">
      <alignment horizontal="center" vertical="center" wrapText="1"/>
      <protection locked="0"/>
    </xf>
    <xf numFmtId="0" fontId="0" fillId="15" borderId="4" xfId="0" applyFill="1" applyBorder="1" applyAlignment="1">
      <alignment horizontal="center" vertical="center"/>
    </xf>
    <xf numFmtId="0" fontId="6" fillId="2" borderId="33" xfId="0" applyFont="1" applyFill="1" applyBorder="1" applyAlignment="1" applyProtection="1">
      <alignment horizontal="center" vertical="top"/>
      <protection locked="0"/>
    </xf>
    <xf numFmtId="0" fontId="6" fillId="3" borderId="33" xfId="0" applyFont="1" applyFill="1" applyBorder="1" applyAlignment="1" applyProtection="1">
      <alignment horizontal="center" vertical="top"/>
      <protection locked="0"/>
    </xf>
    <xf numFmtId="0" fontId="6" fillId="24" borderId="33" xfId="0" applyFont="1" applyFill="1" applyBorder="1" applyAlignment="1" applyProtection="1">
      <alignment horizontal="center" vertical="top"/>
      <protection locked="0"/>
    </xf>
    <xf numFmtId="0" fontId="6" fillId="4" borderId="33" xfId="0" applyFont="1" applyFill="1" applyBorder="1" applyAlignment="1" applyProtection="1">
      <alignment horizontal="center" vertical="top"/>
      <protection locked="0"/>
    </xf>
    <xf numFmtId="1" fontId="5" fillId="25" borderId="4" xfId="0" applyNumberFormat="1" applyFont="1" applyFill="1" applyBorder="1" applyAlignment="1">
      <alignment horizontal="center"/>
    </xf>
    <xf numFmtId="0" fontId="6" fillId="10" borderId="33" xfId="0" applyFont="1" applyFill="1" applyBorder="1" applyAlignment="1" applyProtection="1">
      <alignment horizontal="center" vertical="top"/>
      <protection locked="0"/>
    </xf>
    <xf numFmtId="0" fontId="6" fillId="10" borderId="24" xfId="0" applyFont="1" applyFill="1" applyBorder="1" applyAlignment="1" applyProtection="1">
      <alignment horizontal="center" vertical="top"/>
      <protection locked="0"/>
    </xf>
    <xf numFmtId="0" fontId="9" fillId="9" borderId="33" xfId="0" applyFont="1" applyFill="1" applyBorder="1" applyAlignment="1" applyProtection="1">
      <alignment horizontal="center" vertical="top" wrapText="1"/>
      <protection locked="0"/>
    </xf>
    <xf numFmtId="0" fontId="6" fillId="8" borderId="33" xfId="0" applyFont="1" applyFill="1" applyBorder="1" applyAlignment="1" applyProtection="1">
      <alignment horizontal="center" vertical="top" wrapText="1"/>
      <protection locked="0"/>
    </xf>
    <xf numFmtId="0" fontId="6" fillId="7" borderId="33" xfId="0" applyFont="1" applyFill="1" applyBorder="1" applyAlignment="1" applyProtection="1">
      <alignment horizontal="center" vertical="top"/>
      <protection locked="0"/>
    </xf>
    <xf numFmtId="0" fontId="9" fillId="6" borderId="33" xfId="0" applyFont="1" applyFill="1" applyBorder="1" applyAlignment="1" applyProtection="1">
      <alignment horizontal="center" vertical="top" wrapText="1"/>
      <protection locked="0"/>
    </xf>
    <xf numFmtId="0" fontId="6" fillId="5" borderId="35" xfId="0" applyFont="1" applyFill="1" applyBorder="1" applyAlignment="1" applyProtection="1">
      <alignment horizontal="center" vertical="top"/>
      <protection locked="0"/>
    </xf>
    <xf numFmtId="0" fontId="6" fillId="5" borderId="36" xfId="0" applyFont="1" applyFill="1" applyBorder="1" applyAlignment="1" applyProtection="1">
      <alignment horizontal="center" vertical="top"/>
      <protection locked="0"/>
    </xf>
    <xf numFmtId="0" fontId="6" fillId="5" borderId="37" xfId="0" applyFont="1" applyFill="1" applyBorder="1" applyAlignment="1" applyProtection="1">
      <alignment horizontal="center" vertical="top"/>
      <protection locked="0"/>
    </xf>
    <xf numFmtId="0" fontId="5" fillId="25" borderId="40" xfId="0" applyFont="1" applyFill="1" applyBorder="1" applyAlignment="1">
      <alignment horizontal="center"/>
    </xf>
    <xf numFmtId="0" fontId="5" fillId="25" borderId="21" xfId="0" applyFont="1" applyFill="1" applyBorder="1" applyAlignment="1">
      <alignment horizontal="center"/>
    </xf>
    <xf numFmtId="0" fontId="5" fillId="25" borderId="41" xfId="0" applyFont="1" applyFill="1" applyBorder="1" applyAlignment="1">
      <alignment horizontal="center"/>
    </xf>
    <xf numFmtId="0" fontId="5" fillId="25" borderId="9" xfId="0" applyFont="1" applyFill="1" applyBorder="1" applyAlignment="1">
      <alignment horizontal="center"/>
    </xf>
    <xf numFmtId="0" fontId="5" fillId="27" borderId="22" xfId="0" applyFont="1" applyFill="1" applyBorder="1" applyAlignment="1">
      <alignment horizontal="center" vertical="center"/>
    </xf>
    <xf numFmtId="0" fontId="5" fillId="27" borderId="5" xfId="0" applyFont="1" applyFill="1" applyBorder="1" applyAlignment="1">
      <alignment horizontal="center" vertical="center"/>
    </xf>
    <xf numFmtId="0" fontId="5" fillId="15" borderId="22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center" vertical="center"/>
    </xf>
    <xf numFmtId="0" fontId="5" fillId="15" borderId="56" xfId="0" applyFont="1" applyFill="1" applyBorder="1" applyAlignment="1">
      <alignment horizontal="center"/>
    </xf>
    <xf numFmtId="0" fontId="5" fillId="15" borderId="55" xfId="0" applyFont="1" applyFill="1" applyBorder="1" applyAlignment="1">
      <alignment horizontal="center"/>
    </xf>
    <xf numFmtId="0" fontId="5" fillId="15" borderId="22" xfId="0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/>
    </xf>
    <xf numFmtId="0" fontId="5" fillId="27" borderId="22" xfId="0" applyFont="1" applyFill="1" applyBorder="1" applyAlignment="1">
      <alignment horizontal="center"/>
    </xf>
    <xf numFmtId="0" fontId="5" fillId="27" borderId="5" xfId="0" applyFont="1" applyFill="1" applyBorder="1" applyAlignment="1">
      <alignment horizontal="center"/>
    </xf>
    <xf numFmtId="0" fontId="6" fillId="7" borderId="5" xfId="0" applyFont="1" applyFill="1" applyBorder="1" applyAlignment="1" applyProtection="1">
      <alignment horizontal="center" vertical="top"/>
      <protection locked="0"/>
    </xf>
    <xf numFmtId="0" fontId="6" fillId="7" borderId="26" xfId="0" applyFont="1" applyFill="1" applyBorder="1" applyAlignment="1" applyProtection="1">
      <alignment horizontal="center" vertical="top"/>
      <protection locked="0"/>
    </xf>
    <xf numFmtId="0" fontId="6" fillId="8" borderId="5" xfId="0" applyFont="1" applyFill="1" applyBorder="1" applyAlignment="1" applyProtection="1">
      <alignment horizontal="center" vertical="top" wrapText="1"/>
      <protection locked="0"/>
    </xf>
    <xf numFmtId="0" fontId="6" fillId="8" borderId="26" xfId="0" applyFont="1" applyFill="1" applyBorder="1" applyAlignment="1" applyProtection="1">
      <alignment horizontal="center" vertical="top" wrapText="1"/>
      <protection locked="0"/>
    </xf>
    <xf numFmtId="0" fontId="9" fillId="9" borderId="5" xfId="0" applyFont="1" applyFill="1" applyBorder="1" applyAlignment="1" applyProtection="1">
      <alignment horizontal="center" vertical="top" wrapText="1"/>
      <protection locked="0"/>
    </xf>
    <xf numFmtId="0" fontId="9" fillId="9" borderId="26" xfId="0" applyFont="1" applyFill="1" applyBorder="1" applyAlignment="1" applyProtection="1">
      <alignment horizontal="center" vertical="top" wrapText="1"/>
      <protection locked="0"/>
    </xf>
    <xf numFmtId="0" fontId="6" fillId="10" borderId="54" xfId="0" applyFont="1" applyFill="1" applyBorder="1" applyAlignment="1" applyProtection="1">
      <alignment horizontal="center" vertical="top"/>
      <protection locked="0"/>
    </xf>
    <xf numFmtId="0" fontId="6" fillId="10" borderId="23" xfId="0" applyFont="1" applyFill="1" applyBorder="1" applyAlignment="1" applyProtection="1">
      <alignment horizontal="center" vertical="top"/>
      <protection locked="0"/>
    </xf>
    <xf numFmtId="0" fontId="5" fillId="32" borderId="56" xfId="0" applyFont="1" applyFill="1" applyBorder="1" applyAlignment="1">
      <alignment horizontal="center"/>
    </xf>
    <xf numFmtId="0" fontId="5" fillId="32" borderId="55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12" borderId="26" xfId="0" applyFont="1" applyFill="1" applyBorder="1" applyAlignment="1">
      <alignment horizontal="center"/>
    </xf>
    <xf numFmtId="0" fontId="5" fillId="19" borderId="32" xfId="0" applyFont="1" applyFill="1" applyBorder="1" applyAlignment="1">
      <alignment horizontal="center"/>
    </xf>
    <xf numFmtId="0" fontId="5" fillId="19" borderId="55" xfId="0" applyFont="1" applyFill="1" applyBorder="1" applyAlignment="1">
      <alignment horizontal="center"/>
    </xf>
    <xf numFmtId="0" fontId="6" fillId="2" borderId="4" xfId="0" applyFont="1" applyFill="1" applyBorder="1" applyAlignment="1" applyProtection="1">
      <alignment horizontal="center" vertical="top"/>
      <protection locked="0"/>
    </xf>
    <xf numFmtId="0" fontId="6" fillId="2" borderId="26" xfId="0" applyFont="1" applyFill="1" applyBorder="1" applyAlignment="1" applyProtection="1">
      <alignment horizontal="center" vertical="top"/>
      <protection locked="0"/>
    </xf>
    <xf numFmtId="0" fontId="6" fillId="3" borderId="5" xfId="0" applyFont="1" applyFill="1" applyBorder="1" applyAlignment="1" applyProtection="1">
      <alignment horizontal="center" vertical="top"/>
      <protection locked="0"/>
    </xf>
    <xf numFmtId="0" fontId="6" fillId="3" borderId="26" xfId="0" applyFont="1" applyFill="1" applyBorder="1" applyAlignment="1" applyProtection="1">
      <alignment horizontal="center" vertical="top"/>
      <protection locked="0"/>
    </xf>
    <xf numFmtId="0" fontId="6" fillId="24" borderId="5" xfId="0" applyFont="1" applyFill="1" applyBorder="1" applyAlignment="1" applyProtection="1">
      <alignment horizontal="center" vertical="top"/>
      <protection locked="0"/>
    </xf>
    <xf numFmtId="0" fontId="6" fillId="24" borderId="26" xfId="0" applyFont="1" applyFill="1" applyBorder="1" applyAlignment="1" applyProtection="1">
      <alignment horizontal="center" vertical="top"/>
      <protection locked="0"/>
    </xf>
    <xf numFmtId="0" fontId="6" fillId="4" borderId="5" xfId="0" applyFont="1" applyFill="1" applyBorder="1" applyAlignment="1" applyProtection="1">
      <alignment horizontal="center" vertical="top"/>
      <protection locked="0"/>
    </xf>
    <xf numFmtId="0" fontId="6" fillId="4" borderId="26" xfId="0" applyFont="1" applyFill="1" applyBorder="1" applyAlignment="1" applyProtection="1">
      <alignment horizontal="center" vertical="top"/>
      <protection locked="0"/>
    </xf>
    <xf numFmtId="0" fontId="6" fillId="5" borderId="5" xfId="0" applyFont="1" applyFill="1" applyBorder="1" applyAlignment="1" applyProtection="1">
      <alignment horizontal="center" vertical="top"/>
      <protection locked="0"/>
    </xf>
    <xf numFmtId="0" fontId="6" fillId="5" borderId="26" xfId="0" applyFont="1" applyFill="1" applyBorder="1" applyAlignment="1" applyProtection="1">
      <alignment horizontal="center" vertical="top"/>
      <protection locked="0"/>
    </xf>
    <xf numFmtId="0" fontId="9" fillId="6" borderId="5" xfId="0" applyFont="1" applyFill="1" applyBorder="1" applyAlignment="1" applyProtection="1">
      <alignment horizontal="center" vertical="top" wrapText="1"/>
      <protection locked="0"/>
    </xf>
    <xf numFmtId="0" fontId="9" fillId="6" borderId="26" xfId="0" applyFont="1" applyFill="1" applyBorder="1" applyAlignment="1" applyProtection="1">
      <alignment horizontal="center" vertical="top" wrapText="1"/>
      <protection locked="0"/>
    </xf>
    <xf numFmtId="0" fontId="5" fillId="27" borderId="22" xfId="0" applyFont="1" applyFill="1" applyBorder="1" applyAlignment="1">
      <alignment horizontal="center" vertical="center" wrapText="1"/>
    </xf>
    <xf numFmtId="0" fontId="5" fillId="27" borderId="5" xfId="0" applyFont="1" applyFill="1" applyBorder="1" applyAlignment="1">
      <alignment horizontal="center" vertical="center" wrapText="1"/>
    </xf>
    <xf numFmtId="0" fontId="5" fillId="43" borderId="4" xfId="0" applyFont="1" applyFill="1" applyBorder="1" applyAlignment="1">
      <alignment horizontal="center"/>
    </xf>
    <xf numFmtId="0" fontId="5" fillId="2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7" borderId="25" xfId="0" applyFont="1" applyFill="1" applyBorder="1" applyAlignment="1" applyProtection="1">
      <alignment horizontal="center" vertical="top"/>
      <protection locked="0"/>
    </xf>
    <xf numFmtId="0" fontId="6" fillId="8" borderId="25" xfId="0" applyFont="1" applyFill="1" applyBorder="1" applyAlignment="1" applyProtection="1">
      <alignment horizontal="center" vertical="top" wrapText="1"/>
      <protection locked="0"/>
    </xf>
    <xf numFmtId="0" fontId="9" fillId="9" borderId="25" xfId="0" applyFont="1" applyFill="1" applyBorder="1" applyAlignment="1" applyProtection="1">
      <alignment horizontal="center" vertical="top" wrapText="1"/>
      <protection locked="0"/>
    </xf>
    <xf numFmtId="0" fontId="6" fillId="10" borderId="25" xfId="0" applyFont="1" applyFill="1" applyBorder="1" applyAlignment="1" applyProtection="1">
      <alignment horizontal="center" vertical="top"/>
      <protection locked="0"/>
    </xf>
    <xf numFmtId="0" fontId="6" fillId="10" borderId="26" xfId="0" applyFont="1" applyFill="1" applyBorder="1" applyAlignment="1" applyProtection="1">
      <alignment horizontal="center" vertical="top"/>
      <protection locked="0"/>
    </xf>
    <xf numFmtId="0" fontId="0" fillId="0" borderId="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20" fillId="0" borderId="56" xfId="0" applyFont="1" applyFill="1" applyBorder="1" applyAlignment="1">
      <alignment horizontal="center"/>
    </xf>
    <xf numFmtId="0" fontId="20" fillId="0" borderId="55" xfId="0" applyFont="1" applyFill="1" applyBorder="1" applyAlignment="1">
      <alignment horizontal="center"/>
    </xf>
    <xf numFmtId="0" fontId="6" fillId="24" borderId="25" xfId="0" applyFont="1" applyFill="1" applyBorder="1" applyAlignment="1" applyProtection="1">
      <alignment horizontal="center" vertical="top"/>
      <protection locked="0"/>
    </xf>
    <xf numFmtId="0" fontId="6" fillId="4" borderId="25" xfId="0" applyFont="1" applyFill="1" applyBorder="1" applyAlignment="1" applyProtection="1">
      <alignment horizontal="center" vertical="top"/>
      <protection locked="0"/>
    </xf>
    <xf numFmtId="0" fontId="6" fillId="5" borderId="25" xfId="0" applyFont="1" applyFill="1" applyBorder="1" applyAlignment="1" applyProtection="1">
      <alignment horizontal="center" vertical="top"/>
      <protection locked="0"/>
    </xf>
    <xf numFmtId="0" fontId="9" fillId="6" borderId="25" xfId="0" applyFont="1" applyFill="1" applyBorder="1" applyAlignment="1" applyProtection="1">
      <alignment horizontal="center" vertical="top" wrapText="1"/>
      <protection locked="0"/>
    </xf>
    <xf numFmtId="0" fontId="20" fillId="0" borderId="32" xfId="0" applyFont="1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20" fillId="0" borderId="22" xfId="0" applyFont="1" applyFill="1" applyBorder="1" applyAlignment="1">
      <alignment horizontal="center"/>
    </xf>
    <xf numFmtId="0" fontId="20" fillId="0" borderId="5" xfId="0" applyFont="1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20" fillId="0" borderId="25" xfId="0" applyFont="1" applyFill="1" applyBorder="1" applyAlignment="1">
      <alignment horizontal="center"/>
    </xf>
    <xf numFmtId="0" fontId="20" fillId="0" borderId="26" xfId="0" applyFont="1" applyFill="1" applyBorder="1" applyAlignment="1">
      <alignment horizontal="center"/>
    </xf>
    <xf numFmtId="0" fontId="5" fillId="30" borderId="32" xfId="0" applyFont="1" applyFill="1" applyBorder="1" applyAlignment="1">
      <alignment horizontal="center"/>
    </xf>
    <xf numFmtId="0" fontId="5" fillId="30" borderId="55" xfId="0" applyFont="1" applyFill="1" applyBorder="1" applyAlignment="1">
      <alignment horizontal="center"/>
    </xf>
    <xf numFmtId="0" fontId="5" fillId="30" borderId="22" xfId="0" applyFont="1" applyFill="1" applyBorder="1" applyAlignment="1">
      <alignment horizontal="center"/>
    </xf>
    <xf numFmtId="0" fontId="5" fillId="15" borderId="51" xfId="0" applyFont="1" applyFill="1" applyBorder="1" applyAlignment="1">
      <alignment horizontal="center"/>
    </xf>
    <xf numFmtId="0" fontId="5" fillId="15" borderId="52" xfId="0" applyFont="1" applyFill="1" applyBorder="1" applyAlignment="1">
      <alignment horizontal="center"/>
    </xf>
    <xf numFmtId="0" fontId="5" fillId="15" borderId="53" xfId="0" applyFont="1" applyFill="1" applyBorder="1" applyAlignment="1">
      <alignment horizontal="center"/>
    </xf>
    <xf numFmtId="0" fontId="5" fillId="35" borderId="47" xfId="0" applyFont="1" applyFill="1" applyBorder="1" applyAlignment="1">
      <alignment horizontal="center"/>
    </xf>
    <xf numFmtId="0" fontId="5" fillId="35" borderId="48" xfId="0" applyFont="1" applyFill="1" applyBorder="1" applyAlignment="1">
      <alignment horizontal="center"/>
    </xf>
    <xf numFmtId="0" fontId="5" fillId="35" borderId="49" xfId="0" applyFont="1" applyFill="1" applyBorder="1" applyAlignment="1">
      <alignment horizontal="center"/>
    </xf>
    <xf numFmtId="0" fontId="5" fillId="16" borderId="51" xfId="0" applyFont="1" applyFill="1" applyBorder="1" applyAlignment="1">
      <alignment horizontal="center"/>
    </xf>
    <xf numFmtId="0" fontId="5" fillId="16" borderId="52" xfId="0" applyFont="1" applyFill="1" applyBorder="1" applyAlignment="1">
      <alignment horizontal="center"/>
    </xf>
    <xf numFmtId="0" fontId="5" fillId="16" borderId="53" xfId="0" applyFont="1" applyFill="1" applyBorder="1" applyAlignment="1">
      <alignment horizontal="center"/>
    </xf>
    <xf numFmtId="0" fontId="5" fillId="36" borderId="51" xfId="0" applyFont="1" applyFill="1" applyBorder="1" applyAlignment="1">
      <alignment horizontal="center"/>
    </xf>
    <xf numFmtId="0" fontId="5" fillId="36" borderId="52" xfId="0" applyFont="1" applyFill="1" applyBorder="1" applyAlignment="1">
      <alignment horizontal="center"/>
    </xf>
    <xf numFmtId="0" fontId="5" fillId="36" borderId="53" xfId="0" applyFont="1" applyFill="1" applyBorder="1" applyAlignment="1">
      <alignment horizontal="center"/>
    </xf>
    <xf numFmtId="0" fontId="5" fillId="30" borderId="47" xfId="0" applyFont="1" applyFill="1" applyBorder="1" applyAlignment="1">
      <alignment horizontal="center"/>
    </xf>
    <xf numFmtId="0" fontId="5" fillId="30" borderId="48" xfId="0" applyFont="1" applyFill="1" applyBorder="1" applyAlignment="1">
      <alignment horizontal="center"/>
    </xf>
    <xf numFmtId="0" fontId="5" fillId="30" borderId="49" xfId="0" applyFont="1" applyFill="1" applyBorder="1" applyAlignment="1">
      <alignment horizontal="center"/>
    </xf>
    <xf numFmtId="0" fontId="5" fillId="11" borderId="51" xfId="0" applyFont="1" applyFill="1" applyBorder="1" applyAlignment="1">
      <alignment horizontal="center"/>
    </xf>
    <xf numFmtId="0" fontId="5" fillId="11" borderId="52" xfId="0" applyFont="1" applyFill="1" applyBorder="1" applyAlignment="1">
      <alignment horizontal="center"/>
    </xf>
    <xf numFmtId="0" fontId="5" fillId="11" borderId="53" xfId="0" applyFont="1" applyFill="1" applyBorder="1" applyAlignment="1">
      <alignment horizontal="center"/>
    </xf>
    <xf numFmtId="0" fontId="5" fillId="12" borderId="47" xfId="0" applyFont="1" applyFill="1" applyBorder="1" applyAlignment="1">
      <alignment horizontal="center"/>
    </xf>
    <xf numFmtId="0" fontId="5" fillId="12" borderId="48" xfId="0" applyFont="1" applyFill="1" applyBorder="1" applyAlignment="1">
      <alignment horizontal="center"/>
    </xf>
    <xf numFmtId="0" fontId="5" fillId="12" borderId="49" xfId="0" applyFont="1" applyFill="1" applyBorder="1" applyAlignment="1">
      <alignment horizontal="center"/>
    </xf>
    <xf numFmtId="0" fontId="5" fillId="32" borderId="51" xfId="0" applyFont="1" applyFill="1" applyBorder="1" applyAlignment="1">
      <alignment horizontal="center"/>
    </xf>
    <xf numFmtId="0" fontId="5" fillId="32" borderId="52" xfId="0" applyFont="1" applyFill="1" applyBorder="1" applyAlignment="1">
      <alignment horizontal="center"/>
    </xf>
    <xf numFmtId="0" fontId="5" fillId="32" borderId="53" xfId="0" applyFont="1" applyFill="1" applyBorder="1" applyAlignment="1">
      <alignment horizontal="center"/>
    </xf>
    <xf numFmtId="0" fontId="5" fillId="33" borderId="47" xfId="0" applyFont="1" applyFill="1" applyBorder="1" applyAlignment="1">
      <alignment horizontal="center"/>
    </xf>
    <xf numFmtId="0" fontId="5" fillId="33" borderId="48" xfId="0" applyFont="1" applyFill="1" applyBorder="1" applyAlignment="1">
      <alignment horizontal="center"/>
    </xf>
    <xf numFmtId="0" fontId="5" fillId="33" borderId="49" xfId="0" applyFont="1" applyFill="1" applyBorder="1" applyAlignment="1">
      <alignment horizontal="center"/>
    </xf>
    <xf numFmtId="0" fontId="5" fillId="34" borderId="47" xfId="0" applyFont="1" applyFill="1" applyBorder="1" applyAlignment="1">
      <alignment horizontal="center"/>
    </xf>
    <xf numFmtId="0" fontId="5" fillId="34" borderId="48" xfId="0" applyFont="1" applyFill="1" applyBorder="1" applyAlignment="1">
      <alignment horizontal="center"/>
    </xf>
    <xf numFmtId="0" fontId="5" fillId="34" borderId="49" xfId="0" applyFont="1" applyFill="1" applyBorder="1" applyAlignment="1">
      <alignment horizontal="center"/>
    </xf>
    <xf numFmtId="0" fontId="5" fillId="38" borderId="4" xfId="0" applyFont="1" applyFill="1" applyBorder="1" applyAlignment="1">
      <alignment horizontal="center" vertical="center"/>
    </xf>
    <xf numFmtId="0" fontId="5" fillId="23" borderId="22" xfId="0" applyFont="1" applyFill="1" applyBorder="1" applyAlignment="1">
      <alignment horizontal="center"/>
    </xf>
    <xf numFmtId="0" fontId="5" fillId="23" borderId="56" xfId="0" applyFont="1" applyFill="1" applyBorder="1" applyAlignment="1">
      <alignment horizontal="center"/>
    </xf>
    <xf numFmtId="0" fontId="5" fillId="23" borderId="55" xfId="0" applyFont="1" applyFill="1" applyBorder="1" applyAlignment="1">
      <alignment horizontal="center"/>
    </xf>
    <xf numFmtId="167" fontId="5" fillId="0" borderId="4" xfId="0" applyNumberFormat="1" applyFont="1" applyBorder="1" applyAlignment="1">
      <alignment horizontal="center"/>
    </xf>
    <xf numFmtId="0" fontId="5" fillId="23" borderId="5" xfId="0" applyFont="1" applyFill="1" applyBorder="1" applyAlignment="1">
      <alignment horizontal="center"/>
    </xf>
    <xf numFmtId="167" fontId="5" fillId="0" borderId="32" xfId="0" applyNumberFormat="1" applyFont="1" applyBorder="1" applyAlignment="1">
      <alignment horizontal="center"/>
    </xf>
    <xf numFmtId="167" fontId="5" fillId="0" borderId="56" xfId="0" applyNumberFormat="1" applyFont="1" applyBorder="1" applyAlignment="1">
      <alignment horizontal="center"/>
    </xf>
    <xf numFmtId="167" fontId="5" fillId="0" borderId="55" xfId="0" applyNumberFormat="1" applyFont="1" applyBorder="1" applyAlignment="1">
      <alignment horizontal="center"/>
    </xf>
    <xf numFmtId="167" fontId="5" fillId="0" borderId="5" xfId="0" applyNumberFormat="1" applyFont="1" applyBorder="1" applyAlignment="1">
      <alignment horizontal="center"/>
    </xf>
    <xf numFmtId="1" fontId="5" fillId="20" borderId="22" xfId="0" applyNumberFormat="1" applyFont="1" applyFill="1" applyBorder="1" applyAlignment="1">
      <alignment horizontal="center"/>
    </xf>
    <xf numFmtId="1" fontId="5" fillId="20" borderId="56" xfId="0" applyNumberFormat="1" applyFont="1" applyFill="1" applyBorder="1" applyAlignment="1">
      <alignment horizontal="center"/>
    </xf>
    <xf numFmtId="1" fontId="5" fillId="20" borderId="5" xfId="0" applyNumberFormat="1" applyFont="1" applyFill="1" applyBorder="1" applyAlignment="1">
      <alignment horizontal="center"/>
    </xf>
    <xf numFmtId="167" fontId="5" fillId="0" borderId="22" xfId="0" applyNumberFormat="1" applyFont="1" applyBorder="1" applyAlignment="1">
      <alignment horizontal="center"/>
    </xf>
    <xf numFmtId="0" fontId="20" fillId="18" borderId="56" xfId="0" applyFont="1" applyFill="1" applyBorder="1" applyAlignment="1">
      <alignment horizontal="center"/>
    </xf>
    <xf numFmtId="0" fontId="20" fillId="18" borderId="55" xfId="0" applyFont="1" applyFill="1" applyBorder="1" applyAlignment="1">
      <alignment horizontal="center"/>
    </xf>
    <xf numFmtId="0" fontId="20" fillId="18" borderId="32" xfId="0" applyFont="1" applyFill="1" applyBorder="1" applyAlignment="1">
      <alignment horizontal="center"/>
    </xf>
    <xf numFmtId="0" fontId="0" fillId="18" borderId="25" xfId="0" applyFill="1" applyBorder="1" applyAlignment="1">
      <alignment horizontal="center"/>
    </xf>
    <xf numFmtId="0" fontId="0" fillId="18" borderId="26" xfId="0" applyFill="1" applyBorder="1" applyAlignment="1">
      <alignment horizontal="center"/>
    </xf>
    <xf numFmtId="0" fontId="0" fillId="18" borderId="5" xfId="0" applyFill="1" applyBorder="1" applyAlignment="1">
      <alignment horizontal="center"/>
    </xf>
    <xf numFmtId="0" fontId="5" fillId="19" borderId="56" xfId="0" applyFont="1" applyFill="1" applyBorder="1" applyAlignment="1">
      <alignment horizontal="center"/>
    </xf>
    <xf numFmtId="0" fontId="5" fillId="19" borderId="5" xfId="0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/>
    </xf>
  </cellXfs>
  <cellStyles count="8">
    <cellStyle name="Collegamento ipertestuale" xfId="1" xr:uid="{00000000-0005-0000-0000-000000000000}"/>
    <cellStyle name="Heading" xfId="2" xr:uid="{00000000-0005-0000-0000-000001000000}"/>
    <cellStyle name="Heading1" xfId="3" xr:uid="{00000000-0005-0000-0000-000002000000}"/>
    <cellStyle name="Migliaia" xfId="6" builtinId="3"/>
    <cellStyle name="Normale" xfId="0" builtinId="0" customBuiltin="1"/>
    <cellStyle name="Percentuale" xfId="7" builtinId="5"/>
    <cellStyle name="Result" xfId="4" xr:uid="{00000000-0005-0000-0000-000005000000}"/>
    <cellStyle name="Result2" xfId="5" xr:uid="{00000000-0005-0000-0000-000006000000}"/>
  </cellStyles>
  <dxfs count="32"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rgb="FFFFFF00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4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3300"/>
      <color rgb="FFCC00CC"/>
      <color rgb="FF336699"/>
      <color rgb="FF0099CC"/>
      <color rgb="FFAF6E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Non</a:t>
            </a:r>
            <a:r>
              <a:rPr lang="it-IT" b="1" baseline="0"/>
              <a:t> Sfruttati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Gol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(Panchine!$B$1,Panchine!$D$1,Panchine!$F$1,Panchine!$H$1,Panchine!$J$1,Panchine!$L$1,Panchine!$N$1,Panchine!$P$1,Panchine!$R$1,Panchine!$T$1)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
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(Panchine!$B$43,Panchine!$D$43,Panchine!$F$43,Panchine!$H$43,Panchine!$J$43,Panchine!$L$43,Panchine!$N$43,Panchine!$P$43,Panchine!$R$43,Panchine!$T$43)</c:f>
              <c:numCache>
                <c:formatCode>0</c:formatCode>
                <c:ptCount val="10"/>
                <c:pt idx="0">
                  <c:v>9</c:v>
                </c:pt>
                <c:pt idx="1">
                  <c:v>16</c:v>
                </c:pt>
                <c:pt idx="2">
                  <c:v>34</c:v>
                </c:pt>
                <c:pt idx="3">
                  <c:v>16</c:v>
                </c:pt>
                <c:pt idx="4">
                  <c:v>19</c:v>
                </c:pt>
                <c:pt idx="5">
                  <c:v>33</c:v>
                </c:pt>
                <c:pt idx="6">
                  <c:v>20</c:v>
                </c:pt>
                <c:pt idx="7">
                  <c:v>13</c:v>
                </c:pt>
                <c:pt idx="8">
                  <c:v>9</c:v>
                </c:pt>
                <c:pt idx="9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8-4509-B7F8-93756D86F2AA}"/>
            </c:ext>
          </c:extLst>
        </c:ser>
        <c:ser>
          <c:idx val="1"/>
          <c:order val="1"/>
          <c:tx>
            <c:v>Assist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(Panchine!$B$1,Panchine!$D$1,Panchine!$F$1,Panchine!$H$1,Panchine!$J$1,Panchine!$L$1,Panchine!$N$1,Panchine!$P$1,Panchine!$R$1,Panchine!$T$1)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
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(Panchine!$C$43,Panchine!$E$43,Panchine!$G$43,Panchine!$I$43,Panchine!$K$43,Panchine!$M$43,Panchine!$O$43,Panchine!$Q$43,Panchine!$S$43,Panchine!$U$43)</c:f>
              <c:numCache>
                <c:formatCode>0</c:formatCode>
                <c:ptCount val="10"/>
                <c:pt idx="0">
                  <c:v>13</c:v>
                </c:pt>
                <c:pt idx="1">
                  <c:v>18</c:v>
                </c:pt>
                <c:pt idx="2">
                  <c:v>15</c:v>
                </c:pt>
                <c:pt idx="3">
                  <c:v>9</c:v>
                </c:pt>
                <c:pt idx="4">
                  <c:v>3</c:v>
                </c:pt>
                <c:pt idx="5">
                  <c:v>15</c:v>
                </c:pt>
                <c:pt idx="6">
                  <c:v>14</c:v>
                </c:pt>
                <c:pt idx="7">
                  <c:v>16</c:v>
                </c:pt>
                <c:pt idx="8">
                  <c:v>7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18-4509-B7F8-93756D86F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15"/>
        <c:axId val="745805152"/>
        <c:axId val="663938656"/>
      </c:barChart>
      <c:catAx>
        <c:axId val="7458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38656"/>
        <c:crosses val="autoZero"/>
        <c:auto val="1"/>
        <c:lblAlgn val="ctr"/>
        <c:lblOffset val="100"/>
        <c:noMultiLvlLbl val="0"/>
      </c:catAx>
      <c:valAx>
        <c:axId val="6639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0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% Non</a:t>
            </a:r>
            <a:r>
              <a:rPr lang="it-IT" b="1" baseline="0"/>
              <a:t> Sfruttati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Gol</c:v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4227926457392095E-3"/>
                  <c:y val="3.31076020528798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8E-478B-B685-BB14C3A5C2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(Panchine!$B$1,Panchine!$D$1,Panchine!$F$1,Panchine!$H$1,Panchine!$J$1,Panchine!$L$1,Panchine!$N$1,Panchine!$P$1,Panchine!$R$1,Panchine!$T$1)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
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(Panchine!$B$44,Panchine!$D$44,Panchine!$F$44,Panchine!$H$44,Panchine!$J$44,Panchine!$L$44,Panchine!$N$44,Panchine!$P$44,Panchine!$R$44,Panchine!$T$44)</c:f>
              <c:numCache>
                <c:formatCode>0%</c:formatCode>
                <c:ptCount val="10"/>
                <c:pt idx="0">
                  <c:v>0.20930232558139536</c:v>
                </c:pt>
                <c:pt idx="1">
                  <c:v>0.22535211267605634</c:v>
                </c:pt>
                <c:pt idx="2">
                  <c:v>0.4</c:v>
                </c:pt>
                <c:pt idx="3">
                  <c:v>0.25</c:v>
                </c:pt>
                <c:pt idx="4">
                  <c:v>0.27142857142857141</c:v>
                </c:pt>
                <c:pt idx="5">
                  <c:v>0.4925373134328358</c:v>
                </c:pt>
                <c:pt idx="6">
                  <c:v>0.29850746268656714</c:v>
                </c:pt>
                <c:pt idx="7">
                  <c:v>0.22033898305084745</c:v>
                </c:pt>
                <c:pt idx="8">
                  <c:v>0.17307692307692307</c:v>
                </c:pt>
                <c:pt idx="9">
                  <c:v>0.41379310344827586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5-4F6E-B1D1-A6D4F9C960F4}"/>
            </c:ext>
          </c:extLst>
        </c:ser>
        <c:ser>
          <c:idx val="1"/>
          <c:order val="1"/>
          <c:tx>
            <c:v>Assist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(Panchine!$B$1,Panchine!$D$1,Panchine!$F$1,Panchine!$H$1,Panchine!$J$1,Panchine!$L$1,Panchine!$N$1,Panchine!$P$1,Panchine!$R$1,Panchine!$T$1)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
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(Panchine!$C$44,Panchine!$E$44,Panchine!$G$44,Panchine!$I$44,Panchine!$K$44,Panchine!$M$44,Panchine!$O$44,Panchine!$Q$44,Panchine!$S$44,Panchine!$U$44)</c:f>
              <c:numCache>
                <c:formatCode>0%</c:formatCode>
                <c:ptCount val="10"/>
                <c:pt idx="0">
                  <c:v>0.37142857142857144</c:v>
                </c:pt>
                <c:pt idx="1">
                  <c:v>0.38297872340425532</c:v>
                </c:pt>
                <c:pt idx="2">
                  <c:v>0.35714285714285715</c:v>
                </c:pt>
                <c:pt idx="3">
                  <c:v>0.32142857142857145</c:v>
                </c:pt>
                <c:pt idx="4">
                  <c:v>6.8181818181818177E-2</c:v>
                </c:pt>
                <c:pt idx="5">
                  <c:v>0.41666666666666669</c:v>
                </c:pt>
                <c:pt idx="6">
                  <c:v>0.32558139534883723</c:v>
                </c:pt>
                <c:pt idx="7">
                  <c:v>0.4</c:v>
                </c:pt>
                <c:pt idx="8">
                  <c:v>0.23333333333333334</c:v>
                </c:pt>
                <c:pt idx="9">
                  <c:v>0.47457627118644069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5-4F6E-B1D1-A6D4F9C96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15"/>
        <c:axId val="745805152"/>
        <c:axId val="663938656"/>
      </c:barChart>
      <c:catAx>
        <c:axId val="7458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38656"/>
        <c:crosses val="autoZero"/>
        <c:auto val="1"/>
        <c:lblAlgn val="ctr"/>
        <c:lblOffset val="100"/>
        <c:noMultiLvlLbl val="0"/>
      </c:catAx>
      <c:valAx>
        <c:axId val="6639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0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3630652791819858E-2"/>
          <c:y val="1.587544142830221E-2"/>
          <c:w val="0.96217723276416123"/>
          <c:h val="0.942234548985226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FantaCulo!$B$1</c:f>
              <c:strCache>
                <c:ptCount val="1"/>
                <c:pt idx="0">
                  <c:v>STRAW DOGS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2841645216696168E-3"/>
                  <c:y val="0.2744503604971065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Straw</a:t>
                    </a:r>
                    <a:r>
                      <a:rPr lang="en-US" baseline="0"/>
                      <a:t> Dogs</a:t>
                    </a:r>
                    <a:endParaRPr lang="en-US"/>
                  </a:p>
                  <a:p>
                    <a:fld id="{1FC0C2A6-14A3-4BAE-B2E1-4CF70F5BA939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975591882512065E-2"/>
                      <c:h val="8.4220381829816893E-2"/>
                    </c:manualLayout>
                  </c15:layout>
                  <c15:dlblFieldTable>
                    <c15:dlblFTEntry>
                      <c15:txfldGUID>{1FC0C2A6-14A3-4BAE-B2E1-4CF70F5BA939}</c15:txfldGUID>
                      <c15:f>FantaCulo!$B$40</c15:f>
                      <c15:dlblFieldTableCache>
                        <c:ptCount val="1"/>
                        <c:pt idx="0">
                          <c:v>11,7817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FantaCulo!$B$40</c:f>
              <c:numCache>
                <c:formatCode>General</c:formatCode>
                <c:ptCount val="1"/>
                <c:pt idx="0">
                  <c:v>11.781700000000003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D-431A-B79B-E9AF15AF3F43}"/>
            </c:ext>
          </c:extLst>
        </c:ser>
        <c:ser>
          <c:idx val="1"/>
          <c:order val="1"/>
          <c:tx>
            <c:strRef>
              <c:f>FantaCulo!$F$1</c:f>
              <c:strCache>
                <c:ptCount val="1"/>
                <c:pt idx="0">
                  <c:v>DELU TEAM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3.0094886624751729E-4"/>
                  <c:y val="0.25342472251209558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Delu Team</a:t>
                    </a:r>
                  </a:p>
                  <a:p>
                    <a:fld id="{EBE76DAC-DD82-40DD-A8D0-6F47FEEFA037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{EBE76DAC-DD82-40DD-A8D0-6F47FEEFA037}</c15:txfldGUID>
                      <c15:f>FantaCulo!$F$40</c15:f>
                      <c15:dlblFieldTableCache>
                        <c:ptCount val="1"/>
                        <c:pt idx="0">
                          <c:v>12,1158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FantaCulo!$F$40</c:f>
              <c:numCache>
                <c:formatCode>General</c:formatCode>
                <c:ptCount val="1"/>
                <c:pt idx="0">
                  <c:v>12.115800000000004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5D-431A-B79B-E9AF15AF3F43}"/>
            </c:ext>
          </c:extLst>
        </c:ser>
        <c:ser>
          <c:idx val="2"/>
          <c:order val="2"/>
          <c:tx>
            <c:strRef>
              <c:f>FantaCulo!$J$1</c:f>
              <c:strCache>
                <c:ptCount val="1"/>
                <c:pt idx="0">
                  <c:v>TROFIE 'NFOIATE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7.2161849806176321E-4"/>
                  <c:y val="1.315438921038475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Trofie 'Nfoiate</a:t>
                    </a:r>
                  </a:p>
                  <a:p>
                    <a:fld id="{78AC31A0-2D72-4B09-987B-18A5656202AE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{78AC31A0-2D72-4B09-987B-18A5656202AE}</c15:txfldGUID>
                      <c15:f>FantaCulo!$J$40</c15:f>
                      <c15:dlblFieldTableCache>
                        <c:ptCount val="1"/>
                        <c:pt idx="0">
                          <c:v>0,8936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FantaCulo!$J$40</c:f>
              <c:numCache>
                <c:formatCode>General</c:formatCode>
                <c:ptCount val="1"/>
                <c:pt idx="0">
                  <c:v>0.89360000000000284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5D-431A-B79B-E9AF15AF3F43}"/>
            </c:ext>
          </c:extLst>
        </c:ser>
        <c:ser>
          <c:idx val="3"/>
          <c:order val="3"/>
          <c:tx>
            <c:strRef>
              <c:f>FantaCulo!$N$1</c:f>
              <c:strCache>
                <c:ptCount val="1"/>
                <c:pt idx="0">
                  <c:v>MAMBO FC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5.9074913210363001E-4"/>
                  <c:y val="0.16853417607437635"/>
                </c:manualLayout>
              </c:layout>
              <c:tx>
                <c:rich>
                  <a:bodyPr/>
                  <a:lstStyle/>
                  <a:p>
                    <a:pPr>
                      <a:defRPr b="1"/>
                    </a:pPr>
                    <a:r>
                      <a:rPr lang="en-US"/>
                      <a:t>Mambo F.C.</a:t>
                    </a:r>
                  </a:p>
                  <a:p>
                    <a:pPr>
                      <a:defRPr b="1"/>
                    </a:pPr>
                    <a:fld id="{236479CC-C1E7-4D7B-B7AA-22975EC67148}" type="CELLREF">
                      <a:rPr lang="en-US"/>
                      <a:pPr>
                        <a:defRPr b="1"/>
                      </a:pPr>
                      <a:t>[RIFCELLA]</a:t>
                    </a:fld>
                    <a:endParaRPr lang="en-US"/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{236479CC-C1E7-4D7B-B7AA-22975EC67148}</c15:txfldGUID>
                      <c15:f>FantaCulo!$N$40</c15:f>
                      <c15:dlblFieldTableCache>
                        <c:ptCount val="1"/>
                        <c:pt idx="0">
                          <c:v>-6,9961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FantaCulo!$N$40</c:f>
              <c:numCache>
                <c:formatCode>General</c:formatCode>
                <c:ptCount val="1"/>
                <c:pt idx="0">
                  <c:v>-6.9960999999999984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5D-431A-B79B-E9AF15AF3F43}"/>
            </c:ext>
          </c:extLst>
        </c:ser>
        <c:ser>
          <c:idx val="4"/>
          <c:order val="4"/>
          <c:tx>
            <c:strRef>
              <c:f>FantaCulo!$R$1</c:f>
              <c:strCache>
                <c:ptCount val="1"/>
                <c:pt idx="0">
                  <c:v>MANZOTEAM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2.376678901622743E-4"/>
                  <c:y val="8.2859390317174306E-2"/>
                </c:manualLayout>
              </c:layout>
              <c:tx>
                <c:rich>
                  <a:bodyPr/>
                  <a:lstStyle/>
                  <a:p>
                    <a:pPr>
                      <a:defRPr b="1"/>
                    </a:pPr>
                    <a:r>
                      <a:rPr lang="en-US"/>
                      <a:t>Manzoteam</a:t>
                    </a:r>
                  </a:p>
                  <a:p>
                    <a:pPr>
                      <a:defRPr b="1"/>
                    </a:pPr>
                    <a:fld id="{E60C82F4-989C-4147-B8A0-7233999F29A9}" type="CELLREF">
                      <a:rPr lang="en-US"/>
                      <a:pPr>
                        <a:defRPr b="1"/>
                      </a:pPr>
                      <a:t>[RIFCELLA]</a:t>
                    </a:fld>
                    <a:endParaRPr lang="en-US"/>
                  </a:p>
                </c:rich>
              </c:tx>
              <c:spPr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{E60C82F4-989C-4147-B8A0-7233999F29A9}</c15:txfldGUID>
                      <c15:f>FantaCulo!$R$40</c15:f>
                      <c15:dlblFieldTableCache>
                        <c:ptCount val="1"/>
                        <c:pt idx="0">
                          <c:v>-2,1067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FantaCulo!$R$40</c:f>
              <c:numCache>
                <c:formatCode>General</c:formatCode>
                <c:ptCount val="1"/>
                <c:pt idx="0">
                  <c:v>-2.1066999999999965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55D-431A-B79B-E9AF15AF3F43}"/>
            </c:ext>
          </c:extLst>
        </c:ser>
        <c:ser>
          <c:idx val="5"/>
          <c:order val="5"/>
          <c:tx>
            <c:strRef>
              <c:f>FantaCulo!$V$1</c:f>
              <c:strCache>
                <c:ptCount val="1"/>
                <c:pt idx="0">
                  <c:v>MOJITO FC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5519358499398387E-4"/>
                  <c:y val="0.1357981137147013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Mojito F.C.</a:t>
                    </a:r>
                  </a:p>
                  <a:p>
                    <a:fld id="{A1BF57F1-CDE0-49AA-9FE1-B05E66FD5CD9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{A1BF57F1-CDE0-49AA-9FE1-B05E66FD5CD9}</c15:txfldGUID>
                      <c15:f>FantaCulo!$V$40</c15:f>
                      <c15:dlblFieldTableCache>
                        <c:ptCount val="1"/>
                        <c:pt idx="0">
                          <c:v>-4,5518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FantaCulo!$V$40</c:f>
              <c:numCache>
                <c:formatCode>General</c:formatCode>
                <c:ptCount val="1"/>
                <c:pt idx="0">
                  <c:v>-4.5517999999999983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55D-431A-B79B-E9AF15AF3F43}"/>
            </c:ext>
          </c:extLst>
        </c:ser>
        <c:ser>
          <c:idx val="6"/>
          <c:order val="6"/>
          <c:tx>
            <c:strRef>
              <c:f>FantaCulo!$Z$1</c:f>
              <c:strCache>
                <c:ptCount val="1"/>
                <c:pt idx="0">
                  <c:v>RCD SUERTE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0318789794089785E-4"/>
                  <c:y val="1.354156784618790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RCD Suerte</a:t>
                    </a:r>
                  </a:p>
                  <a:p>
                    <a:fld id="{5075D314-DF62-4938-9802-89BDA3BF6C65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{5075D314-DF62-4938-9802-89BDA3BF6C65}</c15:txfldGUID>
                      <c15:f>FantaCulo!$Z$40</c15:f>
                      <c15:dlblFieldTableCache>
                        <c:ptCount val="1"/>
                        <c:pt idx="0">
                          <c:v>0,115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FantaCulo!$Z$40</c:f>
              <c:numCache>
                <c:formatCode>General</c:formatCode>
                <c:ptCount val="1"/>
                <c:pt idx="0">
                  <c:v>0.11500000000000254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55D-431A-B79B-E9AF15AF3F43}"/>
            </c:ext>
          </c:extLst>
        </c:ser>
        <c:ser>
          <c:idx val="7"/>
          <c:order val="7"/>
          <c:tx>
            <c:strRef>
              <c:f>FantaCulo!$AD$1</c:f>
              <c:strCache>
                <c:ptCount val="1"/>
                <c:pt idx="0">
                  <c:v>PATATINAIKOS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7635058800949025E-4"/>
                  <c:y val="0.1684011637099579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Patatinaikos</a:t>
                    </a:r>
                  </a:p>
                  <a:p>
                    <a:fld id="{CF9183A4-8567-44F5-B44A-C058DE5DD1FD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{CF9183A4-8567-44F5-B44A-C058DE5DD1FD}</c15:txfldGUID>
                      <c15:f>FantaCulo!$AD$40</c15:f>
                      <c15:dlblFieldTableCache>
                        <c:ptCount val="1"/>
                        <c:pt idx="0">
                          <c:v>-6,8854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FantaCulo!$AD$40</c:f>
              <c:numCache>
                <c:formatCode>General</c:formatCode>
                <c:ptCount val="1"/>
                <c:pt idx="0">
                  <c:v>-6.885399999999998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55D-431A-B79B-E9AF15AF3F43}"/>
            </c:ext>
          </c:extLst>
        </c:ser>
        <c:ser>
          <c:idx val="8"/>
          <c:order val="8"/>
          <c:tx>
            <c:strRef>
              <c:f>FantaCulo!$AH$1</c:f>
              <c:strCache>
                <c:ptCount val="1"/>
                <c:pt idx="0">
                  <c:v>SAMPMANIA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6850222671122306E-3"/>
                  <c:y val="8.057228915662650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Sampmania</a:t>
                    </a:r>
                  </a:p>
                  <a:p>
                    <a:fld id="{6182A90E-A2EE-4D87-89DF-D163F07AF824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{6182A90E-A2EE-4D87-89DF-D163F07AF824}</c15:txfldGUID>
                      <c15:f>FantaCulo!$AH$40</c15:f>
                      <c15:dlblFieldTableCache>
                        <c:ptCount val="1"/>
                        <c:pt idx="0">
                          <c:v>-2,1073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FantaCulo!$AH$40</c:f>
              <c:numCache>
                <c:formatCode>General</c:formatCode>
                <c:ptCount val="1"/>
                <c:pt idx="0">
                  <c:v>-2.1072999999999973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55D-431A-B79B-E9AF15AF3F43}"/>
            </c:ext>
          </c:extLst>
        </c:ser>
        <c:ser>
          <c:idx val="9"/>
          <c:order val="9"/>
          <c:tx>
            <c:strRef>
              <c:f>FantaCulo!$AL$1</c:f>
              <c:strCache>
                <c:ptCount val="1"/>
                <c:pt idx="0">
                  <c:v>SPACCA CFC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3538749462760984E-3"/>
                  <c:y val="0.2229749707491382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Spacca CFC</a:t>
                    </a:r>
                  </a:p>
                  <a:p>
                    <a:fld id="{3253B607-996E-4413-959A-E94B9DB0A945}" type="CELLREF">
                      <a:rPr lang="en-US"/>
                      <a:pPr/>
                      <a:t>[RIFCELLA]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{3253B607-996E-4413-959A-E94B9DB0A945}</c15:txfldGUID>
                      <c15:f>FantaCulo!$AL$40</c15:f>
                      <c15:dlblFieldTableCache>
                        <c:ptCount val="1"/>
                        <c:pt idx="0">
                          <c:v>9,4487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55D-431A-B79B-E9AF15AF3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FantaCulo!$AL$40</c:f>
              <c:numCache>
                <c:formatCode>General</c:formatCode>
                <c:ptCount val="1"/>
                <c:pt idx="0">
                  <c:v>9.4487000000000076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55D-431A-B79B-E9AF15AF3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766144"/>
        <c:axId val="165766536"/>
      </c:barChart>
      <c:catAx>
        <c:axId val="165766144"/>
        <c:scaling>
          <c:orientation val="minMax"/>
        </c:scaling>
        <c:delete val="1"/>
        <c:axPos val="b"/>
        <c:majorTickMark val="out"/>
        <c:minorTickMark val="none"/>
        <c:tickLblPos val="none"/>
        <c:crossAx val="165766536"/>
        <c:crosses val="autoZero"/>
        <c:auto val="1"/>
        <c:lblAlgn val="ctr"/>
        <c:lblOffset val="100"/>
        <c:noMultiLvlLbl val="0"/>
      </c:catAx>
      <c:valAx>
        <c:axId val="165766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5766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'RAW DATA andamento'!$B$1</c:f>
              <c:strCache>
                <c:ptCount val="1"/>
                <c:pt idx="0">
                  <c:v>Straw Dogs</c:v>
                </c:pt>
              </c:strCache>
            </c:strRef>
          </c:tx>
          <c:val>
            <c:numRef>
              <c:f>'RAW DATA andamento'!$B$2:$B$37</c:f>
              <c:numCache>
                <c:formatCode>General</c:formatCode>
                <c:ptCount val="36"/>
                <c:pt idx="0">
                  <c:v>1.0002000000000002</c:v>
                </c:pt>
                <c:pt idx="1">
                  <c:v>0.22260000000000024</c:v>
                </c:pt>
                <c:pt idx="2">
                  <c:v>-0.33289999999999975</c:v>
                </c:pt>
                <c:pt idx="3">
                  <c:v>0.66730000000000045</c:v>
                </c:pt>
                <c:pt idx="4">
                  <c:v>0.4451000000000005</c:v>
                </c:pt>
                <c:pt idx="5">
                  <c:v>0.77870000000000061</c:v>
                </c:pt>
                <c:pt idx="6">
                  <c:v>3.4454000000000007</c:v>
                </c:pt>
                <c:pt idx="7">
                  <c:v>3.3343000000000007</c:v>
                </c:pt>
                <c:pt idx="8">
                  <c:v>2.6677000000000008</c:v>
                </c:pt>
                <c:pt idx="9">
                  <c:v>3.3346000000000009</c:v>
                </c:pt>
                <c:pt idx="10">
                  <c:v>3.3346000000000009</c:v>
                </c:pt>
                <c:pt idx="11">
                  <c:v>5.668000000000001</c:v>
                </c:pt>
                <c:pt idx="12">
                  <c:v>3.0016000000000012</c:v>
                </c:pt>
                <c:pt idx="13">
                  <c:v>5.3350000000000009</c:v>
                </c:pt>
                <c:pt idx="14">
                  <c:v>3.8908000000000009</c:v>
                </c:pt>
                <c:pt idx="15">
                  <c:v>3.1132000000000009</c:v>
                </c:pt>
                <c:pt idx="16">
                  <c:v>4.4467000000000008</c:v>
                </c:pt>
                <c:pt idx="17">
                  <c:v>4.8912000000000004</c:v>
                </c:pt>
                <c:pt idx="18">
                  <c:v>6.2247000000000003</c:v>
                </c:pt>
                <c:pt idx="19">
                  <c:v>5.8915000000000006</c:v>
                </c:pt>
                <c:pt idx="20">
                  <c:v>5.8915000000000006</c:v>
                </c:pt>
                <c:pt idx="21">
                  <c:v>6.5584000000000007</c:v>
                </c:pt>
                <c:pt idx="22">
                  <c:v>6.1140000000000008</c:v>
                </c:pt>
                <c:pt idx="23">
                  <c:v>8.7807000000000013</c:v>
                </c:pt>
                <c:pt idx="24">
                  <c:v>10.114200000000002</c:v>
                </c:pt>
                <c:pt idx="25">
                  <c:v>8.6699000000000019</c:v>
                </c:pt>
                <c:pt idx="26">
                  <c:v>8.8922000000000025</c:v>
                </c:pt>
                <c:pt idx="27">
                  <c:v>8.4478000000000026</c:v>
                </c:pt>
                <c:pt idx="28">
                  <c:v>7.4479000000000024</c:v>
                </c:pt>
                <c:pt idx="29">
                  <c:v>7.2257000000000025</c:v>
                </c:pt>
                <c:pt idx="30">
                  <c:v>7.2257000000000025</c:v>
                </c:pt>
                <c:pt idx="31">
                  <c:v>9.5591000000000026</c:v>
                </c:pt>
                <c:pt idx="32">
                  <c:v>9.1147000000000027</c:v>
                </c:pt>
                <c:pt idx="33">
                  <c:v>11.114800000000002</c:v>
                </c:pt>
                <c:pt idx="34">
                  <c:v>11.781700000000003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49-4A4C-9314-4E38011D776E}"/>
            </c:ext>
          </c:extLst>
        </c:ser>
        <c:ser>
          <c:idx val="1"/>
          <c:order val="1"/>
          <c:tx>
            <c:strRef>
              <c:f>'RAW DATA andamento'!$C$1</c:f>
              <c:strCache>
                <c:ptCount val="1"/>
                <c:pt idx="0">
                  <c:v>Delu Team</c:v>
                </c:pt>
              </c:strCache>
            </c:strRef>
          </c:tx>
          <c:val>
            <c:numRef>
              <c:f>'RAW DATA andamento'!$C$2:$C$37</c:f>
              <c:numCache>
                <c:formatCode>General</c:formatCode>
                <c:ptCount val="36"/>
                <c:pt idx="0">
                  <c:v>-0.11099999999999999</c:v>
                </c:pt>
                <c:pt idx="1">
                  <c:v>-0.88859999999999995</c:v>
                </c:pt>
                <c:pt idx="2">
                  <c:v>0.77820000000000011</c:v>
                </c:pt>
                <c:pt idx="3">
                  <c:v>0.66710000000000014</c:v>
                </c:pt>
                <c:pt idx="4">
                  <c:v>-0.44389999999999985</c:v>
                </c:pt>
                <c:pt idx="5">
                  <c:v>0.55630000000000035</c:v>
                </c:pt>
                <c:pt idx="6">
                  <c:v>1.8898000000000006</c:v>
                </c:pt>
                <c:pt idx="7">
                  <c:v>4.0010000000000012</c:v>
                </c:pt>
                <c:pt idx="8">
                  <c:v>1.6679000000000008</c:v>
                </c:pt>
                <c:pt idx="9">
                  <c:v>-0.7762999999999991</c:v>
                </c:pt>
                <c:pt idx="10">
                  <c:v>-0.44269999999999898</c:v>
                </c:pt>
                <c:pt idx="11">
                  <c:v>-1.9979999999999989</c:v>
                </c:pt>
                <c:pt idx="12">
                  <c:v>-2.1090999999999989</c:v>
                </c:pt>
                <c:pt idx="13">
                  <c:v>-0.77559999999999873</c:v>
                </c:pt>
                <c:pt idx="14">
                  <c:v>-0.44199999999999862</c:v>
                </c:pt>
                <c:pt idx="15">
                  <c:v>-0.66419999999999857</c:v>
                </c:pt>
                <c:pt idx="16">
                  <c:v>-0.66419999999999857</c:v>
                </c:pt>
                <c:pt idx="17">
                  <c:v>0.33600000000000163</c:v>
                </c:pt>
                <c:pt idx="18">
                  <c:v>0.33600000000000163</c:v>
                </c:pt>
                <c:pt idx="19">
                  <c:v>2.80000000000169E-3</c:v>
                </c:pt>
                <c:pt idx="20">
                  <c:v>-0.88599999999999823</c:v>
                </c:pt>
                <c:pt idx="21">
                  <c:v>-1.1081999999999983</c:v>
                </c:pt>
                <c:pt idx="22">
                  <c:v>-0.55259999999999831</c:v>
                </c:pt>
                <c:pt idx="23">
                  <c:v>-0.2189999999999982</c:v>
                </c:pt>
                <c:pt idx="24">
                  <c:v>1.1145000000000018</c:v>
                </c:pt>
                <c:pt idx="25">
                  <c:v>1.1145000000000018</c:v>
                </c:pt>
                <c:pt idx="26">
                  <c:v>1.7814000000000019</c:v>
                </c:pt>
                <c:pt idx="27">
                  <c:v>1.7814000000000019</c:v>
                </c:pt>
                <c:pt idx="28">
                  <c:v>2.7816000000000018</c:v>
                </c:pt>
                <c:pt idx="29">
                  <c:v>4.7817000000000025</c:v>
                </c:pt>
                <c:pt idx="30">
                  <c:v>5.7819000000000029</c:v>
                </c:pt>
                <c:pt idx="31">
                  <c:v>7.4487000000000032</c:v>
                </c:pt>
                <c:pt idx="32">
                  <c:v>9.4488000000000039</c:v>
                </c:pt>
                <c:pt idx="33">
                  <c:v>10.115700000000004</c:v>
                </c:pt>
                <c:pt idx="34">
                  <c:v>12.115800000000004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49-4A4C-9314-4E38011D776E}"/>
            </c:ext>
          </c:extLst>
        </c:ser>
        <c:ser>
          <c:idx val="2"/>
          <c:order val="2"/>
          <c:tx>
            <c:strRef>
              <c:f>'RAW DATA andamento'!$D$1</c:f>
              <c:strCache>
                <c:ptCount val="1"/>
                <c:pt idx="0">
                  <c:v>Trofie 'nfoiate</c:v>
                </c:pt>
              </c:strCache>
            </c:strRef>
          </c:tx>
          <c:spPr>
            <a:ln w="19050"/>
          </c:spPr>
          <c:val>
            <c:numRef>
              <c:f>'RAW DATA andamento'!$D$2:$D$37</c:f>
              <c:numCache>
                <c:formatCode>General</c:formatCode>
                <c:ptCount val="36"/>
                <c:pt idx="0">
                  <c:v>-0.11099999999999999</c:v>
                </c:pt>
                <c:pt idx="1">
                  <c:v>-0.11099999999999999</c:v>
                </c:pt>
                <c:pt idx="2">
                  <c:v>0.55590000000000006</c:v>
                </c:pt>
                <c:pt idx="3">
                  <c:v>1.5561000000000003</c:v>
                </c:pt>
                <c:pt idx="4">
                  <c:v>3.5562000000000005</c:v>
                </c:pt>
                <c:pt idx="5">
                  <c:v>1.4453000000000005</c:v>
                </c:pt>
                <c:pt idx="6">
                  <c:v>1.7789000000000006</c:v>
                </c:pt>
                <c:pt idx="7">
                  <c:v>0.22360000000000069</c:v>
                </c:pt>
                <c:pt idx="8">
                  <c:v>0.44590000000000074</c:v>
                </c:pt>
                <c:pt idx="9">
                  <c:v>0.44590000000000074</c:v>
                </c:pt>
                <c:pt idx="10">
                  <c:v>-0.10959999999999925</c:v>
                </c:pt>
                <c:pt idx="11">
                  <c:v>1.2239000000000009</c:v>
                </c:pt>
                <c:pt idx="12">
                  <c:v>1.0018000000000009</c:v>
                </c:pt>
                <c:pt idx="13">
                  <c:v>2.335300000000001</c:v>
                </c:pt>
                <c:pt idx="14">
                  <c:v>0.89110000000000111</c:v>
                </c:pt>
                <c:pt idx="15">
                  <c:v>0.66890000000000116</c:v>
                </c:pt>
                <c:pt idx="16">
                  <c:v>0.44670000000000121</c:v>
                </c:pt>
                <c:pt idx="17">
                  <c:v>0.89120000000000121</c:v>
                </c:pt>
                <c:pt idx="18">
                  <c:v>2.2247000000000012</c:v>
                </c:pt>
                <c:pt idx="19">
                  <c:v>2.8916000000000013</c:v>
                </c:pt>
                <c:pt idx="20">
                  <c:v>4.2251000000000012</c:v>
                </c:pt>
                <c:pt idx="21">
                  <c:v>2.6697000000000015</c:v>
                </c:pt>
                <c:pt idx="22">
                  <c:v>0.66990000000000172</c:v>
                </c:pt>
                <c:pt idx="23">
                  <c:v>0.66990000000000172</c:v>
                </c:pt>
                <c:pt idx="24">
                  <c:v>2.0034000000000018</c:v>
                </c:pt>
                <c:pt idx="25">
                  <c:v>1.5590000000000019</c:v>
                </c:pt>
                <c:pt idx="26">
                  <c:v>2.8925000000000018</c:v>
                </c:pt>
                <c:pt idx="27">
                  <c:v>2.4481000000000019</c:v>
                </c:pt>
                <c:pt idx="28">
                  <c:v>2.2260000000000018</c:v>
                </c:pt>
                <c:pt idx="29">
                  <c:v>4.2261000000000024</c:v>
                </c:pt>
                <c:pt idx="30">
                  <c:v>1.5597000000000025</c:v>
                </c:pt>
                <c:pt idx="31">
                  <c:v>0.44880000000000253</c:v>
                </c:pt>
                <c:pt idx="32">
                  <c:v>2.4489000000000027</c:v>
                </c:pt>
                <c:pt idx="33">
                  <c:v>0.11580000000000279</c:v>
                </c:pt>
                <c:pt idx="34">
                  <c:v>0.89360000000000284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49-4A4C-9314-4E38011D776E}"/>
            </c:ext>
          </c:extLst>
        </c:ser>
        <c:ser>
          <c:idx val="3"/>
          <c:order val="3"/>
          <c:tx>
            <c:strRef>
              <c:f>'RAW DATA andamento'!$E$1</c:f>
              <c:strCache>
                <c:ptCount val="1"/>
                <c:pt idx="0">
                  <c:v>Mambo FC</c:v>
                </c:pt>
              </c:strCache>
            </c:strRef>
          </c:tx>
          <c:val>
            <c:numRef>
              <c:f>'RAW DATA andamento'!$E$2:$E$37</c:f>
              <c:numCache>
                <c:formatCode>General</c:formatCode>
                <c:ptCount val="36"/>
                <c:pt idx="0">
                  <c:v>1.0002000000000002</c:v>
                </c:pt>
                <c:pt idx="1">
                  <c:v>-0.44409999999999972</c:v>
                </c:pt>
                <c:pt idx="2">
                  <c:v>-1.9994999999999996</c:v>
                </c:pt>
                <c:pt idx="3">
                  <c:v>-2.2215999999999996</c:v>
                </c:pt>
                <c:pt idx="4">
                  <c:v>-0.88809999999999945</c:v>
                </c:pt>
                <c:pt idx="5">
                  <c:v>-0.77689999999999937</c:v>
                </c:pt>
                <c:pt idx="6">
                  <c:v>-2.2210999999999994</c:v>
                </c:pt>
                <c:pt idx="7">
                  <c:v>-0.88759999999999928</c:v>
                </c:pt>
                <c:pt idx="8">
                  <c:v>-0.66529999999999923</c:v>
                </c:pt>
                <c:pt idx="9">
                  <c:v>-0.88749999999999918</c:v>
                </c:pt>
                <c:pt idx="10">
                  <c:v>-2.5539999999999989</c:v>
                </c:pt>
                <c:pt idx="11">
                  <c:v>-2.6650999999999989</c:v>
                </c:pt>
                <c:pt idx="12">
                  <c:v>-1.6648999999999987</c:v>
                </c:pt>
                <c:pt idx="13">
                  <c:v>-1.9981999999999986</c:v>
                </c:pt>
                <c:pt idx="14">
                  <c:v>-1.7758999999999987</c:v>
                </c:pt>
                <c:pt idx="15">
                  <c:v>-1.4422999999999986</c:v>
                </c:pt>
                <c:pt idx="16">
                  <c:v>-1.6644999999999985</c:v>
                </c:pt>
                <c:pt idx="17">
                  <c:v>-1.2199999999999984</c:v>
                </c:pt>
                <c:pt idx="18">
                  <c:v>-3.108699999999998</c:v>
                </c:pt>
                <c:pt idx="19">
                  <c:v>-3.219799999999998</c:v>
                </c:pt>
                <c:pt idx="20">
                  <c:v>-4.1085999999999983</c:v>
                </c:pt>
                <c:pt idx="21">
                  <c:v>-5.6639999999999979</c:v>
                </c:pt>
                <c:pt idx="22">
                  <c:v>-4.330499999999998</c:v>
                </c:pt>
                <c:pt idx="23">
                  <c:v>-5.441399999999998</c:v>
                </c:pt>
                <c:pt idx="24">
                  <c:v>-5.441399999999998</c:v>
                </c:pt>
                <c:pt idx="25">
                  <c:v>-5.441399999999998</c:v>
                </c:pt>
                <c:pt idx="26">
                  <c:v>-5.441399999999998</c:v>
                </c:pt>
                <c:pt idx="27">
                  <c:v>-5.8857999999999979</c:v>
                </c:pt>
                <c:pt idx="28">
                  <c:v>-4.8855999999999975</c:v>
                </c:pt>
                <c:pt idx="29">
                  <c:v>-4.5519999999999978</c:v>
                </c:pt>
                <c:pt idx="30">
                  <c:v>-5.774099999999998</c:v>
                </c:pt>
                <c:pt idx="31">
                  <c:v>-5.8851999999999984</c:v>
                </c:pt>
                <c:pt idx="32">
                  <c:v>-6.5516999999999985</c:v>
                </c:pt>
                <c:pt idx="33">
                  <c:v>-6.7738999999999985</c:v>
                </c:pt>
                <c:pt idx="34">
                  <c:v>-6.9960999999999984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49-4A4C-9314-4E38011D776E}"/>
            </c:ext>
          </c:extLst>
        </c:ser>
        <c:ser>
          <c:idx val="4"/>
          <c:order val="4"/>
          <c:tx>
            <c:strRef>
              <c:f>'RAW DATA andamento'!$F$1</c:f>
              <c:strCache>
                <c:ptCount val="1"/>
                <c:pt idx="0">
                  <c:v>Manzoteam</c:v>
                </c:pt>
              </c:strCache>
            </c:strRef>
          </c:tx>
          <c:val>
            <c:numRef>
              <c:f>'RAW DATA andamento'!$F$2:$F$37</c:f>
              <c:numCache>
                <c:formatCode>General</c:formatCode>
                <c:ptCount val="36"/>
                <c:pt idx="0">
                  <c:v>-0.88879999999999992</c:v>
                </c:pt>
                <c:pt idx="1">
                  <c:v>1.1113000000000004</c:v>
                </c:pt>
                <c:pt idx="2">
                  <c:v>1.7782000000000004</c:v>
                </c:pt>
                <c:pt idx="3">
                  <c:v>0.77830000000000044</c:v>
                </c:pt>
                <c:pt idx="4">
                  <c:v>-1.6658999999999995</c:v>
                </c:pt>
                <c:pt idx="5">
                  <c:v>1.0008000000000006</c:v>
                </c:pt>
                <c:pt idx="6">
                  <c:v>0.33420000000000061</c:v>
                </c:pt>
                <c:pt idx="7">
                  <c:v>6.3342000000000009</c:v>
                </c:pt>
                <c:pt idx="8">
                  <c:v>4.6677000000000008</c:v>
                </c:pt>
                <c:pt idx="9">
                  <c:v>4.4455000000000009</c:v>
                </c:pt>
                <c:pt idx="10">
                  <c:v>6.1123000000000012</c:v>
                </c:pt>
                <c:pt idx="11">
                  <c:v>6.1123000000000012</c:v>
                </c:pt>
                <c:pt idx="12">
                  <c:v>5.890200000000001</c:v>
                </c:pt>
                <c:pt idx="13">
                  <c:v>4.0015000000000009</c:v>
                </c:pt>
                <c:pt idx="14">
                  <c:v>3.3349000000000011</c:v>
                </c:pt>
                <c:pt idx="15">
                  <c:v>3.6685000000000012</c:v>
                </c:pt>
                <c:pt idx="16">
                  <c:v>5.0020000000000016</c:v>
                </c:pt>
                <c:pt idx="17">
                  <c:v>5.4465000000000012</c:v>
                </c:pt>
                <c:pt idx="18">
                  <c:v>4.5577000000000014</c:v>
                </c:pt>
                <c:pt idx="19">
                  <c:v>3.4467000000000017</c:v>
                </c:pt>
                <c:pt idx="20">
                  <c:v>3.4467000000000017</c:v>
                </c:pt>
                <c:pt idx="21">
                  <c:v>3.4467000000000017</c:v>
                </c:pt>
                <c:pt idx="22">
                  <c:v>4.7802000000000016</c:v>
                </c:pt>
                <c:pt idx="23">
                  <c:v>4.7802000000000016</c:v>
                </c:pt>
                <c:pt idx="24">
                  <c:v>3.8914000000000017</c:v>
                </c:pt>
                <c:pt idx="25">
                  <c:v>5.8915000000000024</c:v>
                </c:pt>
                <c:pt idx="26">
                  <c:v>6.1138000000000021</c:v>
                </c:pt>
                <c:pt idx="27">
                  <c:v>7.1140000000000025</c:v>
                </c:pt>
                <c:pt idx="28">
                  <c:v>7.4476000000000031</c:v>
                </c:pt>
                <c:pt idx="29">
                  <c:v>6.003300000000003</c:v>
                </c:pt>
                <c:pt idx="30">
                  <c:v>3.3369000000000031</c:v>
                </c:pt>
                <c:pt idx="31">
                  <c:v>0.6705000000000032</c:v>
                </c:pt>
                <c:pt idx="32">
                  <c:v>1.3374000000000033</c:v>
                </c:pt>
                <c:pt idx="33">
                  <c:v>0.22640000000000327</c:v>
                </c:pt>
                <c:pt idx="34">
                  <c:v>-2.1066999999999965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49-4A4C-9314-4E38011D776E}"/>
            </c:ext>
          </c:extLst>
        </c:ser>
        <c:ser>
          <c:idx val="5"/>
          <c:order val="5"/>
          <c:tx>
            <c:strRef>
              <c:f>'RAW DATA andamento'!$G$1</c:f>
              <c:strCache>
                <c:ptCount val="1"/>
                <c:pt idx="0">
                  <c:v>Mojito FC</c:v>
                </c:pt>
              </c:strCache>
            </c:strRef>
          </c:tx>
          <c:val>
            <c:numRef>
              <c:f>'RAW DATA andamento'!$G$2:$G$37</c:f>
              <c:numCache>
                <c:formatCode>General</c:formatCode>
                <c:ptCount val="36"/>
                <c:pt idx="0">
                  <c:v>-1.6664999999999999</c:v>
                </c:pt>
                <c:pt idx="1">
                  <c:v>-1.8886999999999998</c:v>
                </c:pt>
                <c:pt idx="2">
                  <c:v>-0.22189999999999976</c:v>
                </c:pt>
                <c:pt idx="3">
                  <c:v>-0.33299999999999974</c:v>
                </c:pt>
                <c:pt idx="4">
                  <c:v>0.33390000000000031</c:v>
                </c:pt>
                <c:pt idx="5">
                  <c:v>-0.44379999999999964</c:v>
                </c:pt>
                <c:pt idx="6">
                  <c:v>-1.8879999999999995</c:v>
                </c:pt>
                <c:pt idx="7">
                  <c:v>-0.44329999999999936</c:v>
                </c:pt>
                <c:pt idx="8">
                  <c:v>-0.77659999999999929</c:v>
                </c:pt>
                <c:pt idx="9">
                  <c:v>-0.99879999999999924</c:v>
                </c:pt>
                <c:pt idx="10">
                  <c:v>-1.5542999999999991</c:v>
                </c:pt>
                <c:pt idx="11">
                  <c:v>-2.4430999999999989</c:v>
                </c:pt>
                <c:pt idx="12">
                  <c:v>-5.1094999999999988</c:v>
                </c:pt>
                <c:pt idx="13">
                  <c:v>-5.9982999999999986</c:v>
                </c:pt>
                <c:pt idx="14">
                  <c:v>-7.8869999999999987</c:v>
                </c:pt>
                <c:pt idx="15">
                  <c:v>-8.1091999999999995</c:v>
                </c:pt>
                <c:pt idx="16">
                  <c:v>-6.7756999999999996</c:v>
                </c:pt>
                <c:pt idx="17">
                  <c:v>-7.3311999999999999</c:v>
                </c:pt>
                <c:pt idx="18">
                  <c:v>-4.9977999999999998</c:v>
                </c:pt>
                <c:pt idx="19">
                  <c:v>-4.6641999999999992</c:v>
                </c:pt>
                <c:pt idx="20">
                  <c:v>-5.552999999999999</c:v>
                </c:pt>
                <c:pt idx="21">
                  <c:v>-5.775199999999999</c:v>
                </c:pt>
                <c:pt idx="22">
                  <c:v>-6.2195999999999989</c:v>
                </c:pt>
                <c:pt idx="23">
                  <c:v>-7.886099999999999</c:v>
                </c:pt>
                <c:pt idx="24">
                  <c:v>-5.5526999999999989</c:v>
                </c:pt>
                <c:pt idx="25">
                  <c:v>-3.5525999999999986</c:v>
                </c:pt>
                <c:pt idx="26">
                  <c:v>-5.8856999999999982</c:v>
                </c:pt>
                <c:pt idx="27">
                  <c:v>-6.3300999999999981</c:v>
                </c:pt>
                <c:pt idx="28">
                  <c:v>-6.6633999999999984</c:v>
                </c:pt>
                <c:pt idx="29">
                  <c:v>-8.1076999999999977</c:v>
                </c:pt>
                <c:pt idx="30">
                  <c:v>-6.1075999999999979</c:v>
                </c:pt>
                <c:pt idx="31">
                  <c:v>-6.2186999999999983</c:v>
                </c:pt>
                <c:pt idx="32">
                  <c:v>-6.6630999999999982</c:v>
                </c:pt>
                <c:pt idx="33">
                  <c:v>-5.3295999999999983</c:v>
                </c:pt>
                <c:pt idx="34">
                  <c:v>-4.5517999999999983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49-4A4C-9314-4E38011D776E}"/>
            </c:ext>
          </c:extLst>
        </c:ser>
        <c:ser>
          <c:idx val="6"/>
          <c:order val="6"/>
          <c:tx>
            <c:strRef>
              <c:f>'RAW DATA andamento'!$H$1</c:f>
              <c:strCache>
                <c:ptCount val="1"/>
                <c:pt idx="0">
                  <c:v>RCD Suerte</c:v>
                </c:pt>
              </c:strCache>
            </c:strRef>
          </c:tx>
          <c:val>
            <c:numRef>
              <c:f>'RAW DATA andamento'!$H$2:$H$37</c:f>
              <c:numCache>
                <c:formatCode>General</c:formatCode>
                <c:ptCount val="36"/>
                <c:pt idx="0">
                  <c:v>-0.11109999999999999</c:v>
                </c:pt>
                <c:pt idx="1">
                  <c:v>-1.5553999999999999</c:v>
                </c:pt>
                <c:pt idx="2">
                  <c:v>-2.1109</c:v>
                </c:pt>
                <c:pt idx="3">
                  <c:v>-1.1106999999999998</c:v>
                </c:pt>
                <c:pt idx="4">
                  <c:v>-1.1106999999999998</c:v>
                </c:pt>
                <c:pt idx="5">
                  <c:v>-1.1106999999999998</c:v>
                </c:pt>
                <c:pt idx="6">
                  <c:v>-1.1106999999999998</c:v>
                </c:pt>
                <c:pt idx="7">
                  <c:v>-1.2217999999999998</c:v>
                </c:pt>
                <c:pt idx="8">
                  <c:v>-1.2217999999999998</c:v>
                </c:pt>
                <c:pt idx="9">
                  <c:v>0.77830000000000044</c:v>
                </c:pt>
                <c:pt idx="10">
                  <c:v>2.4451000000000005</c:v>
                </c:pt>
                <c:pt idx="11">
                  <c:v>0.88980000000000059</c:v>
                </c:pt>
                <c:pt idx="12">
                  <c:v>0.66770000000000063</c:v>
                </c:pt>
                <c:pt idx="13">
                  <c:v>1.0013000000000007</c:v>
                </c:pt>
                <c:pt idx="14">
                  <c:v>1.0013000000000007</c:v>
                </c:pt>
                <c:pt idx="15">
                  <c:v>0.22370000000000079</c:v>
                </c:pt>
                <c:pt idx="16">
                  <c:v>1.5572000000000008</c:v>
                </c:pt>
                <c:pt idx="17">
                  <c:v>2.5574000000000012</c:v>
                </c:pt>
                <c:pt idx="18">
                  <c:v>2.8910000000000013</c:v>
                </c:pt>
                <c:pt idx="19">
                  <c:v>1.7800000000000014</c:v>
                </c:pt>
                <c:pt idx="20">
                  <c:v>4.1134000000000013</c:v>
                </c:pt>
                <c:pt idx="21">
                  <c:v>3.8912000000000013</c:v>
                </c:pt>
                <c:pt idx="22">
                  <c:v>3.4468000000000014</c:v>
                </c:pt>
                <c:pt idx="23">
                  <c:v>5.1136000000000017</c:v>
                </c:pt>
                <c:pt idx="24">
                  <c:v>4.2248000000000019</c:v>
                </c:pt>
                <c:pt idx="25">
                  <c:v>3.4472000000000018</c:v>
                </c:pt>
                <c:pt idx="26">
                  <c:v>1.1141000000000019</c:v>
                </c:pt>
                <c:pt idx="27">
                  <c:v>2.1143000000000018</c:v>
                </c:pt>
                <c:pt idx="28">
                  <c:v>1.8922000000000019</c:v>
                </c:pt>
                <c:pt idx="29">
                  <c:v>1.6700000000000019</c:v>
                </c:pt>
                <c:pt idx="30">
                  <c:v>3.6701000000000024</c:v>
                </c:pt>
                <c:pt idx="31">
                  <c:v>3.6701000000000024</c:v>
                </c:pt>
                <c:pt idx="32">
                  <c:v>1.3370000000000024</c:v>
                </c:pt>
                <c:pt idx="33">
                  <c:v>1.1148000000000025</c:v>
                </c:pt>
                <c:pt idx="34">
                  <c:v>0.11500000000000254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49-4A4C-9314-4E38011D776E}"/>
            </c:ext>
          </c:extLst>
        </c:ser>
        <c:ser>
          <c:idx val="7"/>
          <c:order val="7"/>
          <c:tx>
            <c:strRef>
              <c:f>'RAW DATA andamento'!$I$1</c:f>
              <c:strCache>
                <c:ptCount val="1"/>
                <c:pt idx="0">
                  <c:v>Patatinaikos</c:v>
                </c:pt>
              </c:strCache>
            </c:strRef>
          </c:tx>
          <c:val>
            <c:numRef>
              <c:f>'RAW DATA andamento'!$I$2:$I$37</c:f>
              <c:numCache>
                <c:formatCode>General</c:formatCode>
                <c:ptCount val="36"/>
                <c:pt idx="0">
                  <c:v>-0.11109999999999999</c:v>
                </c:pt>
                <c:pt idx="1">
                  <c:v>0.66670000000000007</c:v>
                </c:pt>
                <c:pt idx="2">
                  <c:v>0.11120000000000008</c:v>
                </c:pt>
                <c:pt idx="3">
                  <c:v>-0.11089999999999989</c:v>
                </c:pt>
                <c:pt idx="4">
                  <c:v>-0.33309999999999984</c:v>
                </c:pt>
                <c:pt idx="5">
                  <c:v>-1.1107999999999998</c:v>
                </c:pt>
                <c:pt idx="6">
                  <c:v>-1.7773999999999996</c:v>
                </c:pt>
                <c:pt idx="7">
                  <c:v>-2.6661999999999995</c:v>
                </c:pt>
                <c:pt idx="8">
                  <c:v>-4.4437999999999995</c:v>
                </c:pt>
                <c:pt idx="9">
                  <c:v>-5.7769999999999992</c:v>
                </c:pt>
                <c:pt idx="10">
                  <c:v>-4.110199999999999</c:v>
                </c:pt>
                <c:pt idx="11">
                  <c:v>-2.7766999999999991</c:v>
                </c:pt>
                <c:pt idx="12">
                  <c:v>-2.887799999999999</c:v>
                </c:pt>
                <c:pt idx="13">
                  <c:v>-2.887799999999999</c:v>
                </c:pt>
                <c:pt idx="14">
                  <c:v>-0.22109999999999896</c:v>
                </c:pt>
                <c:pt idx="15">
                  <c:v>-0.99869999999999892</c:v>
                </c:pt>
                <c:pt idx="16">
                  <c:v>-2.1096999999999988</c:v>
                </c:pt>
                <c:pt idx="17">
                  <c:v>-2.6651999999999987</c:v>
                </c:pt>
                <c:pt idx="18">
                  <c:v>-3.5539999999999985</c:v>
                </c:pt>
                <c:pt idx="19">
                  <c:v>-3.2203999999999984</c:v>
                </c:pt>
                <c:pt idx="20">
                  <c:v>-0.88699999999999823</c:v>
                </c:pt>
                <c:pt idx="21">
                  <c:v>-0.22009999999999819</c:v>
                </c:pt>
                <c:pt idx="22">
                  <c:v>-0.22009999999999819</c:v>
                </c:pt>
                <c:pt idx="23">
                  <c:v>-0.77559999999999818</c:v>
                </c:pt>
                <c:pt idx="24">
                  <c:v>-0.77559999999999818</c:v>
                </c:pt>
                <c:pt idx="25">
                  <c:v>-1.2199999999999982</c:v>
                </c:pt>
                <c:pt idx="26">
                  <c:v>-1.8865999999999983</c:v>
                </c:pt>
                <c:pt idx="27">
                  <c:v>-0.88639999999999808</c:v>
                </c:pt>
                <c:pt idx="28">
                  <c:v>-1.8862999999999981</c:v>
                </c:pt>
                <c:pt idx="29">
                  <c:v>-1.8862999999999981</c:v>
                </c:pt>
                <c:pt idx="30">
                  <c:v>-0.88609999999999789</c:v>
                </c:pt>
                <c:pt idx="31">
                  <c:v>-1.9969999999999979</c:v>
                </c:pt>
                <c:pt idx="32">
                  <c:v>-4.3300999999999981</c:v>
                </c:pt>
                <c:pt idx="33">
                  <c:v>-4.552299999999998</c:v>
                </c:pt>
                <c:pt idx="34">
                  <c:v>-6.885399999999998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149-4A4C-9314-4E38011D776E}"/>
            </c:ext>
          </c:extLst>
        </c:ser>
        <c:ser>
          <c:idx val="8"/>
          <c:order val="8"/>
          <c:tx>
            <c:strRef>
              <c:f>'RAW DATA andamento'!$J$1</c:f>
              <c:strCache>
                <c:ptCount val="1"/>
                <c:pt idx="0">
                  <c:v>Sampmania</c:v>
                </c:pt>
              </c:strCache>
            </c:strRef>
          </c:tx>
          <c:val>
            <c:numRef>
              <c:f>'RAW DATA andamento'!$J$2:$J$37</c:f>
              <c:numCache>
                <c:formatCode>General</c:formatCode>
                <c:ptCount val="36"/>
                <c:pt idx="0">
                  <c:v>0</c:v>
                </c:pt>
                <c:pt idx="1">
                  <c:v>0.33360000000000012</c:v>
                </c:pt>
                <c:pt idx="2">
                  <c:v>0.33360000000000012</c:v>
                </c:pt>
                <c:pt idx="3">
                  <c:v>-0.66629999999999989</c:v>
                </c:pt>
                <c:pt idx="4">
                  <c:v>0.66720000000000024</c:v>
                </c:pt>
                <c:pt idx="5">
                  <c:v>0.66720000000000024</c:v>
                </c:pt>
                <c:pt idx="6">
                  <c:v>1.0008000000000004</c:v>
                </c:pt>
                <c:pt idx="7">
                  <c:v>3.3342000000000005</c:v>
                </c:pt>
                <c:pt idx="8">
                  <c:v>0.66780000000000062</c:v>
                </c:pt>
                <c:pt idx="9">
                  <c:v>2.6679000000000008</c:v>
                </c:pt>
                <c:pt idx="10">
                  <c:v>3.0015000000000009</c:v>
                </c:pt>
                <c:pt idx="11">
                  <c:v>2.1127000000000011</c:v>
                </c:pt>
                <c:pt idx="12">
                  <c:v>1.8906000000000012</c:v>
                </c:pt>
                <c:pt idx="13">
                  <c:v>1.0018000000000011</c:v>
                </c:pt>
                <c:pt idx="14">
                  <c:v>1.0018000000000011</c:v>
                </c:pt>
                <c:pt idx="15">
                  <c:v>0.22420000000000118</c:v>
                </c:pt>
                <c:pt idx="16">
                  <c:v>-0.88679999999999881</c:v>
                </c:pt>
                <c:pt idx="17">
                  <c:v>-3.1087999999999987</c:v>
                </c:pt>
                <c:pt idx="18">
                  <c:v>-3.4420999999999986</c:v>
                </c:pt>
                <c:pt idx="19">
                  <c:v>-1.1086999999999985</c:v>
                </c:pt>
                <c:pt idx="20">
                  <c:v>-1.4419999999999984</c:v>
                </c:pt>
                <c:pt idx="21">
                  <c:v>0.55810000000000182</c:v>
                </c:pt>
                <c:pt idx="22">
                  <c:v>1.1137000000000019</c:v>
                </c:pt>
                <c:pt idx="23">
                  <c:v>0.55820000000000192</c:v>
                </c:pt>
                <c:pt idx="24">
                  <c:v>-1.441599999999998</c:v>
                </c:pt>
                <c:pt idx="25">
                  <c:v>-1.1079999999999979</c:v>
                </c:pt>
                <c:pt idx="26">
                  <c:v>-1.7745999999999977</c:v>
                </c:pt>
                <c:pt idx="27">
                  <c:v>-0.44109999999999761</c:v>
                </c:pt>
                <c:pt idx="28">
                  <c:v>-0.44109999999999761</c:v>
                </c:pt>
                <c:pt idx="29">
                  <c:v>-0.66329999999999756</c:v>
                </c:pt>
                <c:pt idx="30">
                  <c:v>-1.1076999999999975</c:v>
                </c:pt>
                <c:pt idx="31">
                  <c:v>-1.8853999999999975</c:v>
                </c:pt>
                <c:pt idx="32">
                  <c:v>-1.8853999999999975</c:v>
                </c:pt>
                <c:pt idx="33">
                  <c:v>-0.55189999999999739</c:v>
                </c:pt>
                <c:pt idx="34">
                  <c:v>-2.1072999999999973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149-4A4C-9314-4E38011D776E}"/>
            </c:ext>
          </c:extLst>
        </c:ser>
        <c:ser>
          <c:idx val="9"/>
          <c:order val="9"/>
          <c:tx>
            <c:strRef>
              <c:f>'RAW DATA andamento'!$K$1</c:f>
              <c:strCache>
                <c:ptCount val="1"/>
                <c:pt idx="0">
                  <c:v>Spacca CFC</c:v>
                </c:pt>
              </c:strCache>
            </c:strRef>
          </c:tx>
          <c:val>
            <c:numRef>
              <c:f>'RAW DATA andamento'!$K$2:$K$37</c:f>
              <c:numCache>
                <c:formatCode>General</c:formatCode>
                <c:ptCount val="36"/>
                <c:pt idx="0">
                  <c:v>1.0002000000000002</c:v>
                </c:pt>
                <c:pt idx="1">
                  <c:v>1.7780000000000002</c:v>
                </c:pt>
                <c:pt idx="2">
                  <c:v>2.4449000000000005</c:v>
                </c:pt>
                <c:pt idx="3">
                  <c:v>3.4451000000000009</c:v>
                </c:pt>
                <c:pt idx="4">
                  <c:v>3.222900000000001</c:v>
                </c:pt>
                <c:pt idx="5">
                  <c:v>3.3341000000000012</c:v>
                </c:pt>
                <c:pt idx="6">
                  <c:v>2.6675000000000013</c:v>
                </c:pt>
                <c:pt idx="7">
                  <c:v>4.0010000000000012</c:v>
                </c:pt>
                <c:pt idx="8">
                  <c:v>1.3346000000000013</c:v>
                </c:pt>
                <c:pt idx="9">
                  <c:v>3.3347000000000016</c:v>
                </c:pt>
                <c:pt idx="10">
                  <c:v>2.7792000000000017</c:v>
                </c:pt>
                <c:pt idx="11">
                  <c:v>2.6681000000000017</c:v>
                </c:pt>
                <c:pt idx="12">
                  <c:v>3.6683000000000021</c:v>
                </c:pt>
                <c:pt idx="13">
                  <c:v>4.0019000000000027</c:v>
                </c:pt>
                <c:pt idx="14">
                  <c:v>4.2242000000000024</c:v>
                </c:pt>
                <c:pt idx="15">
                  <c:v>6.2243000000000031</c:v>
                </c:pt>
                <c:pt idx="16">
                  <c:v>6.0021000000000031</c:v>
                </c:pt>
                <c:pt idx="17">
                  <c:v>6.0021000000000031</c:v>
                </c:pt>
                <c:pt idx="18">
                  <c:v>6.0021000000000031</c:v>
                </c:pt>
                <c:pt idx="19">
                  <c:v>5.8910000000000027</c:v>
                </c:pt>
                <c:pt idx="20">
                  <c:v>8.2244000000000028</c:v>
                </c:pt>
                <c:pt idx="21">
                  <c:v>9.8912000000000031</c:v>
                </c:pt>
                <c:pt idx="22">
                  <c:v>11.224700000000004</c:v>
                </c:pt>
                <c:pt idx="23">
                  <c:v>10.113800000000005</c:v>
                </c:pt>
                <c:pt idx="24">
                  <c:v>9.7805000000000053</c:v>
                </c:pt>
                <c:pt idx="25">
                  <c:v>9.0029000000000057</c:v>
                </c:pt>
                <c:pt idx="26">
                  <c:v>10.336400000000006</c:v>
                </c:pt>
                <c:pt idx="27">
                  <c:v>9.8920000000000066</c:v>
                </c:pt>
                <c:pt idx="28">
                  <c:v>10.225600000000007</c:v>
                </c:pt>
                <c:pt idx="29">
                  <c:v>12.225700000000007</c:v>
                </c:pt>
                <c:pt idx="30">
                  <c:v>11.781300000000007</c:v>
                </c:pt>
                <c:pt idx="31">
                  <c:v>13.448100000000007</c:v>
                </c:pt>
                <c:pt idx="32">
                  <c:v>12.781600000000008</c:v>
                </c:pt>
                <c:pt idx="33">
                  <c:v>10.448500000000008</c:v>
                </c:pt>
                <c:pt idx="34">
                  <c:v>9.4487000000000076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149-4A4C-9314-4E38011D7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964880"/>
        <c:axId val="288964096"/>
      </c:lineChart>
      <c:catAx>
        <c:axId val="288964880"/>
        <c:scaling>
          <c:orientation val="minMax"/>
        </c:scaling>
        <c:delete val="0"/>
        <c:axPos val="b"/>
        <c:majorTickMark val="none"/>
        <c:minorTickMark val="none"/>
        <c:tickLblPos val="nextTo"/>
        <c:crossAx val="288964096"/>
        <c:crosses val="autoZero"/>
        <c:auto val="1"/>
        <c:lblAlgn val="ctr"/>
        <c:lblOffset val="100"/>
        <c:noMultiLvlLbl val="0"/>
      </c:catAx>
      <c:valAx>
        <c:axId val="2889640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88964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Numero</a:t>
            </a:r>
            <a:r>
              <a:rPr lang="it-IT" b="1" baseline="0"/>
              <a:t> Giornate Fantaculo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'RAW DATA andamento'!$A$40</c:f>
              <c:strCache>
                <c:ptCount val="1"/>
                <c:pt idx="0">
                  <c:v>Culo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andamento'!$B$39:$K$39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'RAW DATA andamento'!$B$40:$K$40</c:f>
              <c:numCache>
                <c:formatCode>General</c:formatCode>
                <c:ptCount val="10"/>
                <c:pt idx="0">
                  <c:v>17</c:v>
                </c:pt>
                <c:pt idx="1">
                  <c:v>19</c:v>
                </c:pt>
                <c:pt idx="2">
                  <c:v>16</c:v>
                </c:pt>
                <c:pt idx="3">
                  <c:v>11</c:v>
                </c:pt>
                <c:pt idx="4">
                  <c:v>14</c:v>
                </c:pt>
                <c:pt idx="5">
                  <c:v>11</c:v>
                </c:pt>
                <c:pt idx="6">
                  <c:v>11</c:v>
                </c:pt>
                <c:pt idx="7">
                  <c:v>9</c:v>
                </c:pt>
                <c:pt idx="8">
                  <c:v>12</c:v>
                </c:pt>
                <c:pt idx="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9-4462-98BC-C136CE6D8559}"/>
            </c:ext>
          </c:extLst>
        </c:ser>
        <c:ser>
          <c:idx val="1"/>
          <c:order val="1"/>
          <c:tx>
            <c:strRef>
              <c:f>'RAW DATA andamento'!$A$41</c:f>
              <c:strCache>
                <c:ptCount val="1"/>
                <c:pt idx="0">
                  <c:v>Meritato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andamento'!$B$39:$K$39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'RAW DATA andamento'!$B$41:$K$41</c:f>
              <c:numCache>
                <c:formatCode>General</c:formatCode>
                <c:ptCount val="10"/>
                <c:pt idx="0">
                  <c:v>4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4</c:v>
                </c:pt>
                <c:pt idx="5">
                  <c:v>2</c:v>
                </c:pt>
                <c:pt idx="6">
                  <c:v>8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69-4462-98BC-C136CE6D8559}"/>
            </c:ext>
          </c:extLst>
        </c:ser>
        <c:ser>
          <c:idx val="2"/>
          <c:order val="2"/>
          <c:tx>
            <c:strRef>
              <c:f>'RAW DATA andamento'!$A$42</c:f>
              <c:strCache>
                <c:ptCount val="1"/>
                <c:pt idx="0">
                  <c:v>Sfiga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'RAW DATA andamento'!$B$39:$K$39</c:f>
              <c:strCache>
                <c:ptCount val="10"/>
                <c:pt idx="0">
                  <c:v>Straw Dogs</c:v>
                </c:pt>
                <c:pt idx="1">
                  <c:v>Delu Team</c:v>
                </c:pt>
                <c:pt idx="2">
                  <c:v>Trofie 'nfoiate</c:v>
                </c:pt>
                <c:pt idx="3">
                  <c:v>Mambo FC</c:v>
                </c:pt>
                <c:pt idx="4">
                  <c:v>Manzoteam</c:v>
                </c:pt>
                <c:pt idx="5">
                  <c:v>Mojito FC</c:v>
                </c:pt>
                <c:pt idx="6">
                  <c:v>RCD Suerte</c:v>
                </c:pt>
                <c:pt idx="7">
                  <c:v>Patatinaikos</c:v>
                </c:pt>
                <c:pt idx="8">
                  <c:v>Sampmania</c:v>
                </c:pt>
                <c:pt idx="9">
                  <c:v>Spacca CFC</c:v>
                </c:pt>
              </c:strCache>
            </c:strRef>
          </c:cat>
          <c:val>
            <c:numRef>
              <c:f>'RAW DATA andamento'!$B$42:$K$42</c:f>
              <c:numCache>
                <c:formatCode>General</c:formatCode>
                <c:ptCount val="10"/>
                <c:pt idx="0">
                  <c:v>14</c:v>
                </c:pt>
                <c:pt idx="1">
                  <c:v>9</c:v>
                </c:pt>
                <c:pt idx="2">
                  <c:v>15</c:v>
                </c:pt>
                <c:pt idx="3">
                  <c:v>17</c:v>
                </c:pt>
                <c:pt idx="4">
                  <c:v>16</c:v>
                </c:pt>
                <c:pt idx="5">
                  <c:v>22</c:v>
                </c:pt>
                <c:pt idx="6">
                  <c:v>16</c:v>
                </c:pt>
                <c:pt idx="7">
                  <c:v>20</c:v>
                </c:pt>
                <c:pt idx="8">
                  <c:v>17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69-4462-98BC-C136CE6D8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7090688"/>
        <c:axId val="68918096"/>
      </c:barChart>
      <c:catAx>
        <c:axId val="41709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18096"/>
        <c:crosses val="autoZero"/>
        <c:auto val="1"/>
        <c:lblAlgn val="ctr"/>
        <c:lblOffset val="100"/>
        <c:noMultiLvlLbl val="0"/>
      </c:catAx>
      <c:valAx>
        <c:axId val="6891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09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Classifica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'Formula 1'!$B$1:$C$1</c:f>
              <c:strCache>
                <c:ptCount val="2"/>
                <c:pt idx="0">
                  <c:v>STRAW DOGS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1'!$B$38:$C$38</c15:sqref>
                  </c15:fullRef>
                </c:ext>
              </c:extLst>
              <c:f>'Formula 1'!$B$38</c:f>
              <c:numCache>
                <c:formatCode>General</c:formatCode>
                <c:ptCount val="1"/>
                <c:pt idx="0">
                  <c:v>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5-401F-8AD3-8898E7A761AC}"/>
            </c:ext>
          </c:extLst>
        </c:ser>
        <c:ser>
          <c:idx val="1"/>
          <c:order val="1"/>
          <c:tx>
            <c:strRef>
              <c:f>'Formula 1'!$D$1:$E$1</c:f>
              <c:strCache>
                <c:ptCount val="2"/>
                <c:pt idx="0">
                  <c:v>DELU TEAM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1'!$D$38:$E$38</c15:sqref>
                  </c15:fullRef>
                </c:ext>
              </c:extLst>
              <c:f>'Formula 1'!$D$38</c:f>
              <c:numCache>
                <c:formatCode>General</c:formatCode>
                <c:ptCount val="1"/>
                <c:pt idx="0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5-401F-8AD3-8898E7A761AC}"/>
            </c:ext>
          </c:extLst>
        </c:ser>
        <c:ser>
          <c:idx val="2"/>
          <c:order val="2"/>
          <c:tx>
            <c:strRef>
              <c:f>'Formula 1'!$F$1:$G$1</c:f>
              <c:strCache>
                <c:ptCount val="2"/>
                <c:pt idx="0">
                  <c:v>TROFIE 'NFOIATE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1'!$F$38:$G$38</c15:sqref>
                  </c15:fullRef>
                </c:ext>
              </c:extLst>
              <c:f>'Formula 1'!$F$38</c:f>
              <c:numCache>
                <c:formatCode>General</c:formatCode>
                <c:ptCount val="1"/>
                <c:pt idx="0">
                  <c:v>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85-401F-8AD3-8898E7A761AC}"/>
            </c:ext>
          </c:extLst>
        </c:ser>
        <c:ser>
          <c:idx val="3"/>
          <c:order val="3"/>
          <c:tx>
            <c:strRef>
              <c:f>'Formula 1'!$H$1:$I$1</c:f>
              <c:strCache>
                <c:ptCount val="2"/>
                <c:pt idx="0">
                  <c:v>MAMBO FC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1'!$H$38:$I$38</c15:sqref>
                  </c15:fullRef>
                </c:ext>
              </c:extLst>
              <c:f>'Formula 1'!$H$38</c:f>
              <c:numCache>
                <c:formatCode>General</c:formatCode>
                <c:ptCount val="1"/>
                <c:pt idx="0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85-401F-8AD3-8898E7A761AC}"/>
            </c:ext>
          </c:extLst>
        </c:ser>
        <c:ser>
          <c:idx val="4"/>
          <c:order val="4"/>
          <c:tx>
            <c:strRef>
              <c:f>'Formula 1'!$J$1:$K$1</c:f>
              <c:strCache>
                <c:ptCount val="2"/>
                <c:pt idx="0">
                  <c:v>MANZOTEAM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1'!$J$38:$K$38</c15:sqref>
                  </c15:fullRef>
                </c:ext>
              </c:extLst>
              <c:f>'Formula 1'!$J$38</c:f>
              <c:numCache>
                <c:formatCode>General</c:formatCode>
                <c:ptCount val="1"/>
                <c:pt idx="0">
                  <c:v>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85-401F-8AD3-8898E7A761AC}"/>
            </c:ext>
          </c:extLst>
        </c:ser>
        <c:ser>
          <c:idx val="5"/>
          <c:order val="5"/>
          <c:tx>
            <c:strRef>
              <c:f>'Formula 1'!$L$1:$M$1</c:f>
              <c:strCache>
                <c:ptCount val="2"/>
                <c:pt idx="0">
                  <c:v>MOJITO FC
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1'!$L$38:$M$38</c15:sqref>
                  </c15:fullRef>
                </c:ext>
              </c:extLst>
              <c:f>'Formula 1'!$L$38</c:f>
              <c:numCache>
                <c:formatCode>General</c:formatCode>
                <c:ptCount val="1"/>
                <c:pt idx="0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85-401F-8AD3-8898E7A761AC}"/>
            </c:ext>
          </c:extLst>
        </c:ser>
        <c:ser>
          <c:idx val="6"/>
          <c:order val="6"/>
          <c:tx>
            <c:strRef>
              <c:f>'Formula 1'!$N$1:$O$1</c:f>
              <c:strCache>
                <c:ptCount val="2"/>
                <c:pt idx="0">
                  <c:v>RCD SUERTE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1'!$N$38:$O$38</c15:sqref>
                  </c15:fullRef>
                </c:ext>
              </c:extLst>
              <c:f>'Formula 1'!$N$38</c:f>
              <c:numCache>
                <c:formatCode>General</c:formatCode>
                <c:ptCount val="1"/>
                <c:pt idx="0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85-401F-8AD3-8898E7A761AC}"/>
            </c:ext>
          </c:extLst>
        </c:ser>
        <c:ser>
          <c:idx val="7"/>
          <c:order val="7"/>
          <c:tx>
            <c:strRef>
              <c:f>'Formula 1'!$P$1:$Q$1</c:f>
              <c:strCache>
                <c:ptCount val="2"/>
                <c:pt idx="0">
                  <c:v>PATATINAIKOS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1'!$P$38:$Q$38</c15:sqref>
                  </c15:fullRef>
                </c:ext>
              </c:extLst>
              <c:f>'Formula 1'!$P$38</c:f>
              <c:numCache>
                <c:formatCode>General</c:formatCode>
                <c:ptCount val="1"/>
                <c:pt idx="0">
                  <c:v>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85-401F-8AD3-8898E7A761AC}"/>
            </c:ext>
          </c:extLst>
        </c:ser>
        <c:ser>
          <c:idx val="8"/>
          <c:order val="8"/>
          <c:tx>
            <c:strRef>
              <c:f>'Formula 1'!$R$1:$S$1</c:f>
              <c:strCache>
                <c:ptCount val="2"/>
                <c:pt idx="0">
                  <c:v>SAMPMANIA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1'!$R$38:$S$38</c15:sqref>
                  </c15:fullRef>
                </c:ext>
              </c:extLst>
              <c:f>'Formula 1'!$R$38</c:f>
              <c:numCache>
                <c:formatCode>General</c:formatCode>
                <c:ptCount val="1"/>
                <c:pt idx="0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85-401F-8AD3-8898E7A761AC}"/>
            </c:ext>
          </c:extLst>
        </c:ser>
        <c:ser>
          <c:idx val="9"/>
          <c:order val="9"/>
          <c:tx>
            <c:strRef>
              <c:f>'Formula 1'!$T$1:$U$1</c:f>
              <c:strCache>
                <c:ptCount val="2"/>
                <c:pt idx="0">
                  <c:v>SPACCA CFC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F85-401F-8AD3-8898E7A761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'Formula 1'!$B$1:$U$1</c15:sqref>
                  </c15:fullRef>
                </c:ext>
              </c:extLst>
              <c:f>('Formula 1'!$B$1,'Formula 1'!$D$1:$U$1)</c:f>
              <c:strCache>
                <c:ptCount val="18"/>
                <c:pt idx="0">
                  <c:v>STRAW DOGS</c:v>
                </c:pt>
                <c:pt idx="1">
                  <c:v>DELU TEAM</c:v>
                </c:pt>
                <c:pt idx="3">
                  <c:v>TROFIE 'NFOIATE</c:v>
                </c:pt>
                <c:pt idx="5">
                  <c:v>MAMBO FC</c:v>
                </c:pt>
                <c:pt idx="7">
                  <c:v>MANZOTEAM</c:v>
                </c:pt>
                <c:pt idx="9">
                  <c:v>MOJITO FC
</c:v>
                </c:pt>
                <c:pt idx="11">
                  <c:v>RCD SUERTE</c:v>
                </c:pt>
                <c:pt idx="13">
                  <c:v>PATATINAIKOS</c:v>
                </c:pt>
                <c:pt idx="15">
                  <c:v>SAMPMANIA</c:v>
                </c:pt>
                <c:pt idx="17">
                  <c:v>SPACCA CFC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'Formula 1'!$T$38:$U$38</c15:sqref>
                  </c15:fullRef>
                </c:ext>
              </c:extLst>
              <c:f>'Formula 1'!$T$38</c:f>
              <c:numCache>
                <c:formatCode>General</c:formatCode>
                <c:ptCount val="1"/>
                <c:pt idx="0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85-401F-8AD3-8898E7A76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88967624"/>
        <c:axId val="288965664"/>
      </c:barChart>
      <c:catAx>
        <c:axId val="288967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65664"/>
        <c:crosses val="autoZero"/>
        <c:auto val="0"/>
        <c:lblAlgn val="ctr"/>
        <c:lblOffset val="100"/>
        <c:noMultiLvlLbl val="0"/>
      </c:catAx>
      <c:valAx>
        <c:axId val="28896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967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Valore</a:t>
            </a:r>
            <a:r>
              <a:rPr lang="en-GB" baseline="0"/>
              <a:t> Rosa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'Valore Rosa'!$B$1</c:f>
              <c:strCache>
                <c:ptCount val="1"/>
                <c:pt idx="0">
                  <c:v>Straw Dogs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Rosa'!$B$3:$B$39</c:f>
              <c:numCache>
                <c:formatCode>General</c:formatCode>
                <c:ptCount val="37"/>
                <c:pt idx="0">
                  <c:v>287</c:v>
                </c:pt>
                <c:pt idx="1">
                  <c:v>290</c:v>
                </c:pt>
                <c:pt idx="2">
                  <c:v>286</c:v>
                </c:pt>
                <c:pt idx="3">
                  <c:v>287</c:v>
                </c:pt>
                <c:pt idx="4">
                  <c:v>312</c:v>
                </c:pt>
                <c:pt idx="5">
                  <c:v>313</c:v>
                </c:pt>
                <c:pt idx="6">
                  <c:v>311</c:v>
                </c:pt>
                <c:pt idx="7">
                  <c:v>307</c:v>
                </c:pt>
                <c:pt idx="8">
                  <c:v>301</c:v>
                </c:pt>
                <c:pt idx="9">
                  <c:v>298</c:v>
                </c:pt>
                <c:pt idx="10">
                  <c:v>307</c:v>
                </c:pt>
                <c:pt idx="11">
                  <c:v>301</c:v>
                </c:pt>
                <c:pt idx="12">
                  <c:v>297</c:v>
                </c:pt>
                <c:pt idx="13">
                  <c:v>297</c:v>
                </c:pt>
                <c:pt idx="14">
                  <c:v>296</c:v>
                </c:pt>
                <c:pt idx="15">
                  <c:v>296</c:v>
                </c:pt>
                <c:pt idx="16">
                  <c:v>293</c:v>
                </c:pt>
                <c:pt idx="17">
                  <c:v>293</c:v>
                </c:pt>
                <c:pt idx="18">
                  <c:v>287</c:v>
                </c:pt>
                <c:pt idx="19">
                  <c:v>292</c:v>
                </c:pt>
                <c:pt idx="20">
                  <c:v>295</c:v>
                </c:pt>
                <c:pt idx="21">
                  <c:v>311</c:v>
                </c:pt>
                <c:pt idx="22">
                  <c:v>312</c:v>
                </c:pt>
                <c:pt idx="23">
                  <c:v>313</c:v>
                </c:pt>
                <c:pt idx="24">
                  <c:v>318</c:v>
                </c:pt>
                <c:pt idx="25">
                  <c:v>318</c:v>
                </c:pt>
                <c:pt idx="26">
                  <c:v>315</c:v>
                </c:pt>
                <c:pt idx="27">
                  <c:v>317</c:v>
                </c:pt>
                <c:pt idx="28">
                  <c:v>310</c:v>
                </c:pt>
                <c:pt idx="29">
                  <c:v>310</c:v>
                </c:pt>
                <c:pt idx="30">
                  <c:v>308</c:v>
                </c:pt>
                <c:pt idx="31">
                  <c:v>302</c:v>
                </c:pt>
                <c:pt idx="32">
                  <c:v>303</c:v>
                </c:pt>
                <c:pt idx="33">
                  <c:v>301</c:v>
                </c:pt>
                <c:pt idx="34">
                  <c:v>295</c:v>
                </c:pt>
                <c:pt idx="35">
                  <c:v>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C0-4CBF-8B60-D27C972022BF}"/>
            </c:ext>
          </c:extLst>
        </c:ser>
        <c:ser>
          <c:idx val="1"/>
          <c:order val="1"/>
          <c:tx>
            <c:strRef>
              <c:f>'Valore Rosa'!$E$1</c:f>
              <c:strCache>
                <c:ptCount val="1"/>
                <c:pt idx="0">
                  <c:v>Delu Team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Rosa'!$E$3:$E$39</c:f>
              <c:numCache>
                <c:formatCode>General</c:formatCode>
                <c:ptCount val="37"/>
                <c:pt idx="0">
                  <c:v>251</c:v>
                </c:pt>
                <c:pt idx="1">
                  <c:v>255</c:v>
                </c:pt>
                <c:pt idx="2">
                  <c:v>248</c:v>
                </c:pt>
                <c:pt idx="3">
                  <c:v>246</c:v>
                </c:pt>
                <c:pt idx="4">
                  <c:v>284</c:v>
                </c:pt>
                <c:pt idx="5">
                  <c:v>280</c:v>
                </c:pt>
                <c:pt idx="6">
                  <c:v>283</c:v>
                </c:pt>
                <c:pt idx="7">
                  <c:v>285</c:v>
                </c:pt>
                <c:pt idx="8">
                  <c:v>290</c:v>
                </c:pt>
                <c:pt idx="9">
                  <c:v>296</c:v>
                </c:pt>
                <c:pt idx="10">
                  <c:v>303</c:v>
                </c:pt>
                <c:pt idx="11">
                  <c:v>304</c:v>
                </c:pt>
                <c:pt idx="12">
                  <c:v>307</c:v>
                </c:pt>
                <c:pt idx="13">
                  <c:v>305</c:v>
                </c:pt>
                <c:pt idx="14">
                  <c:v>296</c:v>
                </c:pt>
                <c:pt idx="15">
                  <c:v>300</c:v>
                </c:pt>
                <c:pt idx="16">
                  <c:v>305</c:v>
                </c:pt>
                <c:pt idx="17">
                  <c:v>310</c:v>
                </c:pt>
                <c:pt idx="18">
                  <c:v>312</c:v>
                </c:pt>
                <c:pt idx="19">
                  <c:v>307</c:v>
                </c:pt>
                <c:pt idx="20">
                  <c:v>304</c:v>
                </c:pt>
                <c:pt idx="21">
                  <c:v>344</c:v>
                </c:pt>
                <c:pt idx="22">
                  <c:v>346</c:v>
                </c:pt>
                <c:pt idx="23">
                  <c:v>343</c:v>
                </c:pt>
                <c:pt idx="24">
                  <c:v>340</c:v>
                </c:pt>
                <c:pt idx="25">
                  <c:v>339</c:v>
                </c:pt>
                <c:pt idx="26">
                  <c:v>334</c:v>
                </c:pt>
                <c:pt idx="27">
                  <c:v>334</c:v>
                </c:pt>
                <c:pt idx="28">
                  <c:v>338</c:v>
                </c:pt>
                <c:pt idx="29">
                  <c:v>340</c:v>
                </c:pt>
                <c:pt idx="30">
                  <c:v>344</c:v>
                </c:pt>
                <c:pt idx="31">
                  <c:v>340</c:v>
                </c:pt>
                <c:pt idx="32">
                  <c:v>342</c:v>
                </c:pt>
                <c:pt idx="33">
                  <c:v>340</c:v>
                </c:pt>
                <c:pt idx="34">
                  <c:v>349</c:v>
                </c:pt>
                <c:pt idx="35">
                  <c:v>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C0-4CBF-8B60-D27C972022BF}"/>
            </c:ext>
          </c:extLst>
        </c:ser>
        <c:ser>
          <c:idx val="2"/>
          <c:order val="2"/>
          <c:tx>
            <c:strRef>
              <c:f>'Valore Rosa'!$H$1</c:f>
              <c:strCache>
                <c:ptCount val="1"/>
                <c:pt idx="0">
                  <c:v>Trofie 'nfoiate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Rosa'!$H$3:$H$39</c:f>
              <c:numCache>
                <c:formatCode>General</c:formatCode>
                <c:ptCount val="37"/>
                <c:pt idx="0">
                  <c:v>338</c:v>
                </c:pt>
                <c:pt idx="1">
                  <c:v>333</c:v>
                </c:pt>
                <c:pt idx="2">
                  <c:v>329</c:v>
                </c:pt>
                <c:pt idx="3">
                  <c:v>332</c:v>
                </c:pt>
                <c:pt idx="4">
                  <c:v>325</c:v>
                </c:pt>
                <c:pt idx="5">
                  <c:v>324</c:v>
                </c:pt>
                <c:pt idx="6">
                  <c:v>321</c:v>
                </c:pt>
                <c:pt idx="7">
                  <c:v>324</c:v>
                </c:pt>
                <c:pt idx="8">
                  <c:v>332</c:v>
                </c:pt>
                <c:pt idx="9">
                  <c:v>324</c:v>
                </c:pt>
                <c:pt idx="10">
                  <c:v>327</c:v>
                </c:pt>
                <c:pt idx="11">
                  <c:v>324</c:v>
                </c:pt>
                <c:pt idx="12">
                  <c:v>325</c:v>
                </c:pt>
                <c:pt idx="13">
                  <c:v>323</c:v>
                </c:pt>
                <c:pt idx="14">
                  <c:v>322</c:v>
                </c:pt>
                <c:pt idx="15">
                  <c:v>322</c:v>
                </c:pt>
                <c:pt idx="16">
                  <c:v>324</c:v>
                </c:pt>
                <c:pt idx="17">
                  <c:v>321</c:v>
                </c:pt>
                <c:pt idx="18">
                  <c:v>319</c:v>
                </c:pt>
                <c:pt idx="19">
                  <c:v>322</c:v>
                </c:pt>
                <c:pt idx="20">
                  <c:v>326</c:v>
                </c:pt>
                <c:pt idx="21">
                  <c:v>567</c:v>
                </c:pt>
                <c:pt idx="22">
                  <c:v>570</c:v>
                </c:pt>
                <c:pt idx="23">
                  <c:v>572</c:v>
                </c:pt>
                <c:pt idx="24">
                  <c:v>570</c:v>
                </c:pt>
                <c:pt idx="25">
                  <c:v>569</c:v>
                </c:pt>
                <c:pt idx="26">
                  <c:v>576</c:v>
                </c:pt>
                <c:pt idx="27">
                  <c:v>571</c:v>
                </c:pt>
                <c:pt idx="28">
                  <c:v>575</c:v>
                </c:pt>
                <c:pt idx="29">
                  <c:v>569</c:v>
                </c:pt>
                <c:pt idx="30">
                  <c:v>569</c:v>
                </c:pt>
                <c:pt idx="31">
                  <c:v>570</c:v>
                </c:pt>
                <c:pt idx="32">
                  <c:v>571</c:v>
                </c:pt>
                <c:pt idx="33">
                  <c:v>575</c:v>
                </c:pt>
                <c:pt idx="34">
                  <c:v>575</c:v>
                </c:pt>
                <c:pt idx="35">
                  <c:v>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C0-4CBF-8B60-D27C972022BF}"/>
            </c:ext>
          </c:extLst>
        </c:ser>
        <c:ser>
          <c:idx val="3"/>
          <c:order val="3"/>
          <c:tx>
            <c:strRef>
              <c:f>'Valore Rosa'!$K$1</c:f>
              <c:strCache>
                <c:ptCount val="1"/>
                <c:pt idx="0">
                  <c:v>Mambo FC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Rosa'!$K$3:$K$39</c:f>
              <c:numCache>
                <c:formatCode>General</c:formatCode>
                <c:ptCount val="37"/>
                <c:pt idx="0">
                  <c:v>299</c:v>
                </c:pt>
                <c:pt idx="1">
                  <c:v>300</c:v>
                </c:pt>
                <c:pt idx="2">
                  <c:v>299</c:v>
                </c:pt>
                <c:pt idx="3">
                  <c:v>293</c:v>
                </c:pt>
                <c:pt idx="4">
                  <c:v>297</c:v>
                </c:pt>
                <c:pt idx="5">
                  <c:v>292</c:v>
                </c:pt>
                <c:pt idx="6">
                  <c:v>284</c:v>
                </c:pt>
                <c:pt idx="7">
                  <c:v>286</c:v>
                </c:pt>
                <c:pt idx="8">
                  <c:v>290</c:v>
                </c:pt>
                <c:pt idx="9">
                  <c:v>288</c:v>
                </c:pt>
                <c:pt idx="10">
                  <c:v>290</c:v>
                </c:pt>
                <c:pt idx="11">
                  <c:v>284</c:v>
                </c:pt>
                <c:pt idx="12">
                  <c:v>274</c:v>
                </c:pt>
                <c:pt idx="13">
                  <c:v>273</c:v>
                </c:pt>
                <c:pt idx="14">
                  <c:v>263</c:v>
                </c:pt>
                <c:pt idx="15">
                  <c:v>265</c:v>
                </c:pt>
                <c:pt idx="16">
                  <c:v>270</c:v>
                </c:pt>
                <c:pt idx="17">
                  <c:v>266</c:v>
                </c:pt>
                <c:pt idx="18">
                  <c:v>275</c:v>
                </c:pt>
                <c:pt idx="19">
                  <c:v>280</c:v>
                </c:pt>
                <c:pt idx="20">
                  <c:v>278</c:v>
                </c:pt>
                <c:pt idx="21">
                  <c:v>279</c:v>
                </c:pt>
                <c:pt idx="22">
                  <c:v>280</c:v>
                </c:pt>
                <c:pt idx="23">
                  <c:v>280</c:v>
                </c:pt>
                <c:pt idx="24">
                  <c:v>284</c:v>
                </c:pt>
                <c:pt idx="25">
                  <c:v>283</c:v>
                </c:pt>
                <c:pt idx="26">
                  <c:v>288</c:v>
                </c:pt>
                <c:pt idx="27">
                  <c:v>280</c:v>
                </c:pt>
                <c:pt idx="28">
                  <c:v>280</c:v>
                </c:pt>
                <c:pt idx="29">
                  <c:v>281</c:v>
                </c:pt>
                <c:pt idx="30">
                  <c:v>282</c:v>
                </c:pt>
                <c:pt idx="31">
                  <c:v>281</c:v>
                </c:pt>
                <c:pt idx="32">
                  <c:v>279</c:v>
                </c:pt>
                <c:pt idx="33">
                  <c:v>277</c:v>
                </c:pt>
                <c:pt idx="34">
                  <c:v>275</c:v>
                </c:pt>
                <c:pt idx="35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C0-4CBF-8B60-D27C972022BF}"/>
            </c:ext>
          </c:extLst>
        </c:ser>
        <c:ser>
          <c:idx val="4"/>
          <c:order val="4"/>
          <c:tx>
            <c:strRef>
              <c:f>'Valore Rosa'!$N$1</c:f>
              <c:strCache>
                <c:ptCount val="1"/>
                <c:pt idx="0">
                  <c:v>Manzoteam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Rosa'!$N$3:$N$39</c:f>
              <c:numCache>
                <c:formatCode>General</c:formatCode>
                <c:ptCount val="37"/>
                <c:pt idx="0">
                  <c:v>228</c:v>
                </c:pt>
                <c:pt idx="1">
                  <c:v>228</c:v>
                </c:pt>
                <c:pt idx="2">
                  <c:v>225</c:v>
                </c:pt>
                <c:pt idx="3">
                  <c:v>226</c:v>
                </c:pt>
                <c:pt idx="4">
                  <c:v>264</c:v>
                </c:pt>
                <c:pt idx="5">
                  <c:v>268</c:v>
                </c:pt>
                <c:pt idx="6">
                  <c:v>266</c:v>
                </c:pt>
                <c:pt idx="7">
                  <c:v>262</c:v>
                </c:pt>
                <c:pt idx="8">
                  <c:v>266</c:v>
                </c:pt>
                <c:pt idx="9">
                  <c:v>262</c:v>
                </c:pt>
                <c:pt idx="10">
                  <c:v>265</c:v>
                </c:pt>
                <c:pt idx="11">
                  <c:v>271</c:v>
                </c:pt>
                <c:pt idx="12">
                  <c:v>277</c:v>
                </c:pt>
                <c:pt idx="13">
                  <c:v>279</c:v>
                </c:pt>
                <c:pt idx="14">
                  <c:v>284</c:v>
                </c:pt>
                <c:pt idx="15">
                  <c:v>283</c:v>
                </c:pt>
                <c:pt idx="16">
                  <c:v>282</c:v>
                </c:pt>
                <c:pt idx="17">
                  <c:v>284</c:v>
                </c:pt>
                <c:pt idx="18">
                  <c:v>277</c:v>
                </c:pt>
                <c:pt idx="19">
                  <c:v>267</c:v>
                </c:pt>
                <c:pt idx="20">
                  <c:v>262</c:v>
                </c:pt>
                <c:pt idx="21">
                  <c:v>325</c:v>
                </c:pt>
                <c:pt idx="22">
                  <c:v>328</c:v>
                </c:pt>
                <c:pt idx="23">
                  <c:v>328</c:v>
                </c:pt>
                <c:pt idx="24">
                  <c:v>326</c:v>
                </c:pt>
                <c:pt idx="25">
                  <c:v>324</c:v>
                </c:pt>
                <c:pt idx="26">
                  <c:v>328</c:v>
                </c:pt>
                <c:pt idx="27">
                  <c:v>325</c:v>
                </c:pt>
                <c:pt idx="28">
                  <c:v>331</c:v>
                </c:pt>
                <c:pt idx="29">
                  <c:v>332</c:v>
                </c:pt>
                <c:pt idx="30">
                  <c:v>333</c:v>
                </c:pt>
                <c:pt idx="31">
                  <c:v>335</c:v>
                </c:pt>
                <c:pt idx="32">
                  <c:v>334</c:v>
                </c:pt>
                <c:pt idx="33">
                  <c:v>328</c:v>
                </c:pt>
                <c:pt idx="34">
                  <c:v>328</c:v>
                </c:pt>
                <c:pt idx="35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C0-4CBF-8B60-D27C972022BF}"/>
            </c:ext>
          </c:extLst>
        </c:ser>
        <c:ser>
          <c:idx val="5"/>
          <c:order val="5"/>
          <c:tx>
            <c:strRef>
              <c:f>'Valore Rosa'!$Q$1</c:f>
              <c:strCache>
                <c:ptCount val="1"/>
                <c:pt idx="0">
                  <c:v>Mojito FC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Rosa'!$Q$3:$Q$39</c:f>
              <c:numCache>
                <c:formatCode>General</c:formatCode>
                <c:ptCount val="37"/>
                <c:pt idx="0">
                  <c:v>283</c:v>
                </c:pt>
                <c:pt idx="1">
                  <c:v>284</c:v>
                </c:pt>
                <c:pt idx="2">
                  <c:v>284</c:v>
                </c:pt>
                <c:pt idx="3">
                  <c:v>286</c:v>
                </c:pt>
                <c:pt idx="4">
                  <c:v>348</c:v>
                </c:pt>
                <c:pt idx="5">
                  <c:v>348</c:v>
                </c:pt>
                <c:pt idx="6">
                  <c:v>347</c:v>
                </c:pt>
                <c:pt idx="7">
                  <c:v>344</c:v>
                </c:pt>
                <c:pt idx="8">
                  <c:v>340</c:v>
                </c:pt>
                <c:pt idx="9">
                  <c:v>340</c:v>
                </c:pt>
                <c:pt idx="10">
                  <c:v>337</c:v>
                </c:pt>
                <c:pt idx="11">
                  <c:v>335</c:v>
                </c:pt>
                <c:pt idx="12">
                  <c:v>337</c:v>
                </c:pt>
                <c:pt idx="13">
                  <c:v>344</c:v>
                </c:pt>
                <c:pt idx="14">
                  <c:v>344</c:v>
                </c:pt>
                <c:pt idx="15">
                  <c:v>339</c:v>
                </c:pt>
                <c:pt idx="16">
                  <c:v>337</c:v>
                </c:pt>
                <c:pt idx="17">
                  <c:v>342</c:v>
                </c:pt>
                <c:pt idx="18">
                  <c:v>343</c:v>
                </c:pt>
                <c:pt idx="19">
                  <c:v>346</c:v>
                </c:pt>
                <c:pt idx="20">
                  <c:v>351</c:v>
                </c:pt>
                <c:pt idx="21">
                  <c:v>378</c:v>
                </c:pt>
                <c:pt idx="22">
                  <c:v>370</c:v>
                </c:pt>
                <c:pt idx="23">
                  <c:v>375</c:v>
                </c:pt>
                <c:pt idx="24">
                  <c:v>375</c:v>
                </c:pt>
                <c:pt idx="25">
                  <c:v>375</c:v>
                </c:pt>
                <c:pt idx="26">
                  <c:v>377</c:v>
                </c:pt>
                <c:pt idx="27">
                  <c:v>377</c:v>
                </c:pt>
                <c:pt idx="28">
                  <c:v>374</c:v>
                </c:pt>
                <c:pt idx="29">
                  <c:v>371</c:v>
                </c:pt>
                <c:pt idx="30">
                  <c:v>374</c:v>
                </c:pt>
                <c:pt idx="31">
                  <c:v>373</c:v>
                </c:pt>
                <c:pt idx="32">
                  <c:v>368</c:v>
                </c:pt>
                <c:pt idx="33">
                  <c:v>365</c:v>
                </c:pt>
                <c:pt idx="34">
                  <c:v>358</c:v>
                </c:pt>
                <c:pt idx="35">
                  <c:v>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C0-4CBF-8B60-D27C972022BF}"/>
            </c:ext>
          </c:extLst>
        </c:ser>
        <c:ser>
          <c:idx val="6"/>
          <c:order val="6"/>
          <c:tx>
            <c:strRef>
              <c:f>'Valore Rosa'!$T$1</c:f>
              <c:strCache>
                <c:ptCount val="1"/>
                <c:pt idx="0">
                  <c:v>RCD Suerte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Rosa'!$T$3:$T$39</c:f>
              <c:numCache>
                <c:formatCode>General</c:formatCode>
                <c:ptCount val="37"/>
                <c:pt idx="0">
                  <c:v>308</c:v>
                </c:pt>
                <c:pt idx="1">
                  <c:v>299</c:v>
                </c:pt>
                <c:pt idx="2">
                  <c:v>306</c:v>
                </c:pt>
                <c:pt idx="3">
                  <c:v>303</c:v>
                </c:pt>
                <c:pt idx="4">
                  <c:v>299</c:v>
                </c:pt>
                <c:pt idx="5">
                  <c:v>301</c:v>
                </c:pt>
                <c:pt idx="6">
                  <c:v>306</c:v>
                </c:pt>
                <c:pt idx="7">
                  <c:v>301</c:v>
                </c:pt>
                <c:pt idx="8">
                  <c:v>300</c:v>
                </c:pt>
                <c:pt idx="9">
                  <c:v>291</c:v>
                </c:pt>
                <c:pt idx="10">
                  <c:v>287</c:v>
                </c:pt>
                <c:pt idx="11">
                  <c:v>280</c:v>
                </c:pt>
                <c:pt idx="12">
                  <c:v>266</c:v>
                </c:pt>
                <c:pt idx="13">
                  <c:v>261</c:v>
                </c:pt>
                <c:pt idx="14">
                  <c:v>268</c:v>
                </c:pt>
                <c:pt idx="15">
                  <c:v>265</c:v>
                </c:pt>
                <c:pt idx="16">
                  <c:v>268</c:v>
                </c:pt>
                <c:pt idx="17">
                  <c:v>271</c:v>
                </c:pt>
                <c:pt idx="18">
                  <c:v>268</c:v>
                </c:pt>
                <c:pt idx="19">
                  <c:v>270</c:v>
                </c:pt>
                <c:pt idx="20">
                  <c:v>270</c:v>
                </c:pt>
                <c:pt idx="21">
                  <c:v>344</c:v>
                </c:pt>
                <c:pt idx="22">
                  <c:v>346</c:v>
                </c:pt>
                <c:pt idx="23">
                  <c:v>339</c:v>
                </c:pt>
                <c:pt idx="24">
                  <c:v>344</c:v>
                </c:pt>
                <c:pt idx="25">
                  <c:v>343</c:v>
                </c:pt>
                <c:pt idx="26">
                  <c:v>345</c:v>
                </c:pt>
                <c:pt idx="27">
                  <c:v>348</c:v>
                </c:pt>
                <c:pt idx="28">
                  <c:v>350</c:v>
                </c:pt>
                <c:pt idx="29">
                  <c:v>348</c:v>
                </c:pt>
                <c:pt idx="30">
                  <c:v>352</c:v>
                </c:pt>
                <c:pt idx="31">
                  <c:v>344</c:v>
                </c:pt>
                <c:pt idx="32">
                  <c:v>344</c:v>
                </c:pt>
                <c:pt idx="33">
                  <c:v>348</c:v>
                </c:pt>
                <c:pt idx="34">
                  <c:v>344</c:v>
                </c:pt>
                <c:pt idx="35">
                  <c:v>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C0-4CBF-8B60-D27C972022BF}"/>
            </c:ext>
          </c:extLst>
        </c:ser>
        <c:ser>
          <c:idx val="7"/>
          <c:order val="7"/>
          <c:tx>
            <c:strRef>
              <c:f>'Valore Rosa'!$W$1</c:f>
              <c:strCache>
                <c:ptCount val="1"/>
                <c:pt idx="0">
                  <c:v>Patatinaikos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Rosa'!$W$3:$W$39</c:f>
              <c:numCache>
                <c:formatCode>General</c:formatCode>
                <c:ptCount val="37"/>
                <c:pt idx="0">
                  <c:v>343</c:v>
                </c:pt>
                <c:pt idx="1">
                  <c:v>338</c:v>
                </c:pt>
                <c:pt idx="2">
                  <c:v>333</c:v>
                </c:pt>
                <c:pt idx="3">
                  <c:v>326</c:v>
                </c:pt>
                <c:pt idx="4">
                  <c:v>318</c:v>
                </c:pt>
                <c:pt idx="5">
                  <c:v>308</c:v>
                </c:pt>
                <c:pt idx="6">
                  <c:v>301</c:v>
                </c:pt>
                <c:pt idx="7">
                  <c:v>294</c:v>
                </c:pt>
                <c:pt idx="8">
                  <c:v>287</c:v>
                </c:pt>
                <c:pt idx="9">
                  <c:v>286</c:v>
                </c:pt>
                <c:pt idx="10">
                  <c:v>284</c:v>
                </c:pt>
                <c:pt idx="11">
                  <c:v>286</c:v>
                </c:pt>
                <c:pt idx="12">
                  <c:v>280</c:v>
                </c:pt>
                <c:pt idx="13">
                  <c:v>278</c:v>
                </c:pt>
                <c:pt idx="14">
                  <c:v>272</c:v>
                </c:pt>
                <c:pt idx="15">
                  <c:v>274</c:v>
                </c:pt>
                <c:pt idx="16">
                  <c:v>275</c:v>
                </c:pt>
                <c:pt idx="17">
                  <c:v>280</c:v>
                </c:pt>
                <c:pt idx="18">
                  <c:v>273</c:v>
                </c:pt>
                <c:pt idx="19">
                  <c:v>273</c:v>
                </c:pt>
                <c:pt idx="20">
                  <c:v>277</c:v>
                </c:pt>
                <c:pt idx="21">
                  <c:v>287</c:v>
                </c:pt>
                <c:pt idx="22">
                  <c:v>299</c:v>
                </c:pt>
                <c:pt idx="23">
                  <c:v>303</c:v>
                </c:pt>
                <c:pt idx="24">
                  <c:v>293</c:v>
                </c:pt>
                <c:pt idx="25">
                  <c:v>297</c:v>
                </c:pt>
                <c:pt idx="26">
                  <c:v>296</c:v>
                </c:pt>
                <c:pt idx="27">
                  <c:v>298</c:v>
                </c:pt>
                <c:pt idx="28">
                  <c:v>294</c:v>
                </c:pt>
                <c:pt idx="29">
                  <c:v>296</c:v>
                </c:pt>
                <c:pt idx="30">
                  <c:v>301</c:v>
                </c:pt>
                <c:pt idx="31">
                  <c:v>306</c:v>
                </c:pt>
                <c:pt idx="32">
                  <c:v>306</c:v>
                </c:pt>
                <c:pt idx="33">
                  <c:v>306</c:v>
                </c:pt>
                <c:pt idx="34">
                  <c:v>304</c:v>
                </c:pt>
                <c:pt idx="35">
                  <c:v>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C0-4CBF-8B60-D27C972022BF}"/>
            </c:ext>
          </c:extLst>
        </c:ser>
        <c:ser>
          <c:idx val="8"/>
          <c:order val="8"/>
          <c:tx>
            <c:strRef>
              <c:f>'Valore Rosa'!$Z$1</c:f>
              <c:strCache>
                <c:ptCount val="1"/>
                <c:pt idx="0">
                  <c:v>Sampmania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Rosa'!$Z$3:$Z$39</c:f>
              <c:numCache>
                <c:formatCode>General</c:formatCode>
                <c:ptCount val="37"/>
                <c:pt idx="0">
                  <c:v>278</c:v>
                </c:pt>
                <c:pt idx="1">
                  <c:v>286</c:v>
                </c:pt>
                <c:pt idx="2">
                  <c:v>285</c:v>
                </c:pt>
                <c:pt idx="3">
                  <c:v>278</c:v>
                </c:pt>
                <c:pt idx="4">
                  <c:v>297</c:v>
                </c:pt>
                <c:pt idx="5">
                  <c:v>295</c:v>
                </c:pt>
                <c:pt idx="6">
                  <c:v>289</c:v>
                </c:pt>
                <c:pt idx="7">
                  <c:v>289</c:v>
                </c:pt>
                <c:pt idx="8">
                  <c:v>283</c:v>
                </c:pt>
                <c:pt idx="9">
                  <c:v>288</c:v>
                </c:pt>
                <c:pt idx="10">
                  <c:v>281</c:v>
                </c:pt>
                <c:pt idx="11">
                  <c:v>286</c:v>
                </c:pt>
                <c:pt idx="12">
                  <c:v>281</c:v>
                </c:pt>
                <c:pt idx="13">
                  <c:v>284</c:v>
                </c:pt>
                <c:pt idx="14">
                  <c:v>281</c:v>
                </c:pt>
                <c:pt idx="15">
                  <c:v>286</c:v>
                </c:pt>
                <c:pt idx="16">
                  <c:v>289</c:v>
                </c:pt>
                <c:pt idx="17">
                  <c:v>286</c:v>
                </c:pt>
                <c:pt idx="18">
                  <c:v>288</c:v>
                </c:pt>
                <c:pt idx="19">
                  <c:v>288</c:v>
                </c:pt>
                <c:pt idx="20">
                  <c:v>289</c:v>
                </c:pt>
                <c:pt idx="21">
                  <c:v>362</c:v>
                </c:pt>
                <c:pt idx="22">
                  <c:v>356</c:v>
                </c:pt>
                <c:pt idx="23">
                  <c:v>355</c:v>
                </c:pt>
                <c:pt idx="24">
                  <c:v>358</c:v>
                </c:pt>
                <c:pt idx="25">
                  <c:v>355</c:v>
                </c:pt>
                <c:pt idx="26">
                  <c:v>357</c:v>
                </c:pt>
                <c:pt idx="27">
                  <c:v>356</c:v>
                </c:pt>
                <c:pt idx="28">
                  <c:v>358</c:v>
                </c:pt>
                <c:pt idx="29">
                  <c:v>351</c:v>
                </c:pt>
                <c:pt idx="30">
                  <c:v>349</c:v>
                </c:pt>
                <c:pt idx="31">
                  <c:v>351</c:v>
                </c:pt>
                <c:pt idx="32">
                  <c:v>348</c:v>
                </c:pt>
                <c:pt idx="33">
                  <c:v>342</c:v>
                </c:pt>
                <c:pt idx="34">
                  <c:v>342</c:v>
                </c:pt>
                <c:pt idx="35">
                  <c:v>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C0-4CBF-8B60-D27C972022BF}"/>
            </c:ext>
          </c:extLst>
        </c:ser>
        <c:ser>
          <c:idx val="9"/>
          <c:order val="9"/>
          <c:tx>
            <c:strRef>
              <c:f>'Valore Rosa'!$AC$1</c:f>
              <c:strCache>
                <c:ptCount val="1"/>
                <c:pt idx="0">
                  <c:v>Spacca CFC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Rosa'!$AC$3:$AC$39</c:f>
              <c:numCache>
                <c:formatCode>General</c:formatCode>
                <c:ptCount val="37"/>
                <c:pt idx="0">
                  <c:v>339</c:v>
                </c:pt>
                <c:pt idx="1">
                  <c:v>341</c:v>
                </c:pt>
                <c:pt idx="2">
                  <c:v>350</c:v>
                </c:pt>
                <c:pt idx="3">
                  <c:v>353</c:v>
                </c:pt>
                <c:pt idx="4">
                  <c:v>352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371</c:v>
                </c:pt>
                <c:pt idx="9">
                  <c:v>372</c:v>
                </c:pt>
                <c:pt idx="10">
                  <c:v>376</c:v>
                </c:pt>
                <c:pt idx="11">
                  <c:v>374</c:v>
                </c:pt>
                <c:pt idx="12">
                  <c:v>381</c:v>
                </c:pt>
                <c:pt idx="13">
                  <c:v>381</c:v>
                </c:pt>
                <c:pt idx="14">
                  <c:v>379</c:v>
                </c:pt>
                <c:pt idx="15">
                  <c:v>381</c:v>
                </c:pt>
                <c:pt idx="16">
                  <c:v>383</c:v>
                </c:pt>
                <c:pt idx="17">
                  <c:v>376</c:v>
                </c:pt>
                <c:pt idx="18">
                  <c:v>375</c:v>
                </c:pt>
                <c:pt idx="19">
                  <c:v>393</c:v>
                </c:pt>
                <c:pt idx="20">
                  <c:v>389</c:v>
                </c:pt>
                <c:pt idx="21">
                  <c:v>380</c:v>
                </c:pt>
                <c:pt idx="22">
                  <c:v>382</c:v>
                </c:pt>
                <c:pt idx="23">
                  <c:v>390</c:v>
                </c:pt>
                <c:pt idx="24">
                  <c:v>396</c:v>
                </c:pt>
                <c:pt idx="25">
                  <c:v>392</c:v>
                </c:pt>
                <c:pt idx="26">
                  <c:v>395</c:v>
                </c:pt>
                <c:pt idx="27">
                  <c:v>399</c:v>
                </c:pt>
                <c:pt idx="28">
                  <c:v>395</c:v>
                </c:pt>
                <c:pt idx="29">
                  <c:v>395</c:v>
                </c:pt>
                <c:pt idx="30">
                  <c:v>397</c:v>
                </c:pt>
                <c:pt idx="31">
                  <c:v>390</c:v>
                </c:pt>
                <c:pt idx="32">
                  <c:v>391</c:v>
                </c:pt>
                <c:pt idx="33">
                  <c:v>387</c:v>
                </c:pt>
                <c:pt idx="34">
                  <c:v>389</c:v>
                </c:pt>
                <c:pt idx="35">
                  <c:v>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2C0-4CBF-8B60-D27C97202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130256"/>
        <c:axId val="360134000"/>
      </c:lineChart>
      <c:catAx>
        <c:axId val="36013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34000"/>
        <c:crosses val="autoZero"/>
        <c:auto val="1"/>
        <c:lblAlgn val="ctr"/>
        <c:lblOffset val="100"/>
        <c:noMultiLvlLbl val="0"/>
      </c:catAx>
      <c:valAx>
        <c:axId val="360134000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130256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 Valore Rosa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'Valore Rosa'!$B$1</c:f>
              <c:strCache>
                <c:ptCount val="1"/>
                <c:pt idx="0">
                  <c:v>Straw Dogs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Rosa'!$B$79</c:f>
              <c:numCache>
                <c:formatCode>0.0%</c:formatCode>
                <c:ptCount val="1"/>
                <c:pt idx="0">
                  <c:v>3.1358885017421602E-2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3-4AEF-946F-0D6315A74714}"/>
            </c:ext>
          </c:extLst>
        </c:ser>
        <c:ser>
          <c:idx val="2"/>
          <c:order val="2"/>
          <c:tx>
            <c:strRef>
              <c:f>'Valore Rosa'!$E$1</c:f>
              <c:strCache>
                <c:ptCount val="1"/>
                <c:pt idx="0">
                  <c:v>Delu Team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Rosa'!$E$79</c:f>
              <c:numCache>
                <c:formatCode>0.0%</c:formatCode>
                <c:ptCount val="1"/>
                <c:pt idx="0">
                  <c:v>0.36653386454183268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3-4AEF-946F-0D6315A74714}"/>
            </c:ext>
          </c:extLst>
        </c:ser>
        <c:ser>
          <c:idx val="4"/>
          <c:order val="4"/>
          <c:tx>
            <c:strRef>
              <c:f>'Valore Rosa'!$H$1</c:f>
              <c:strCache>
                <c:ptCount val="1"/>
                <c:pt idx="0">
                  <c:v>Trofie 'nfoiate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Rosa'!$H$79</c:f>
              <c:numCache>
                <c:formatCode>0.0%</c:formatCode>
                <c:ptCount val="1"/>
                <c:pt idx="0">
                  <c:v>0.70414201183431957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33-4AEF-946F-0D6315A74714}"/>
            </c:ext>
          </c:extLst>
        </c:ser>
        <c:ser>
          <c:idx val="6"/>
          <c:order val="6"/>
          <c:tx>
            <c:strRef>
              <c:f>'Valore Rosa'!$K$1</c:f>
              <c:strCache>
                <c:ptCount val="1"/>
                <c:pt idx="0">
                  <c:v>Mambo FC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Rosa'!$K$79</c:f>
              <c:numCache>
                <c:formatCode>0.0%</c:formatCode>
                <c:ptCount val="1"/>
                <c:pt idx="0">
                  <c:v>-9.0301003344481601E-2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33-4AEF-946F-0D6315A74714}"/>
            </c:ext>
          </c:extLst>
        </c:ser>
        <c:ser>
          <c:idx val="8"/>
          <c:order val="8"/>
          <c:tx>
            <c:strRef>
              <c:f>'Valore Rosa'!$N$1</c:f>
              <c:strCache>
                <c:ptCount val="1"/>
                <c:pt idx="0">
                  <c:v>Manzoteam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Rosa'!$N$79</c:f>
              <c:numCache>
                <c:formatCode>0.0%</c:formatCode>
                <c:ptCount val="1"/>
                <c:pt idx="0">
                  <c:v>0.44298245614035087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33-4AEF-946F-0D6315A74714}"/>
            </c:ext>
          </c:extLst>
        </c:ser>
        <c:ser>
          <c:idx val="10"/>
          <c:order val="10"/>
          <c:tx>
            <c:strRef>
              <c:f>'Valore Rosa'!$Q$1</c:f>
              <c:strCache>
                <c:ptCount val="1"/>
                <c:pt idx="0">
                  <c:v>Mojito FC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B6605BC-E41F-4FC2-A531-F9632E63895A}" type="CELLRANGE">
                      <a:rPr lang="en-US"/>
                      <a:pPr/>
                      <a:t>[INTERVALLOCELLE]</a:t>
                    </a:fld>
                    <a:r>
                      <a:rPr lang="en-US" baseline="0"/>
                      <a:t>; </a:t>
                    </a:r>
                    <a:fld id="{D0DE1EF0-CB3B-4BF6-AF09-30721E0B6EAE}" type="VALUE">
                      <a:rPr lang="en-US" baseline="0"/>
                      <a:pPr/>
                      <a:t>[VALORE]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Rosa'!$Q$79</c:f>
              <c:numCache>
                <c:formatCode>0.0%</c:formatCode>
                <c:ptCount val="1"/>
                <c:pt idx="0">
                  <c:v>0.25441696113074203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'Valore Rosa'!$Q$1:$S$1</c15:f>
                <c15:dlblRangeCache>
                  <c:ptCount val="3"/>
                  <c:pt idx="0">
                    <c:v>Mojito FC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BD33-4AEF-946F-0D6315A74714}"/>
            </c:ext>
          </c:extLst>
        </c:ser>
        <c:ser>
          <c:idx val="12"/>
          <c:order val="12"/>
          <c:tx>
            <c:strRef>
              <c:f>'Valore Rosa'!$T$1</c:f>
              <c:strCache>
                <c:ptCount val="1"/>
                <c:pt idx="0">
                  <c:v>RCD Suerte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4E58C9F-D4D0-414D-BF04-85235670BF43}" type="CELLRANGE">
                      <a:rPr lang="en-US"/>
                      <a:pPr/>
                      <a:t>[INTERVALLOCELLE]</a:t>
                    </a:fld>
                    <a:r>
                      <a:rPr lang="en-US" baseline="0"/>
                      <a:t>; </a:t>
                    </a:r>
                    <a:fld id="{37935EEC-B6A6-413B-9504-4CFC6A4BC3CD}" type="VALUE">
                      <a:rPr lang="en-US" baseline="0"/>
                      <a:pPr/>
                      <a:t>[VALORE]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Rosa'!$T$79</c:f>
              <c:numCache>
                <c:formatCode>0.0%</c:formatCode>
                <c:ptCount val="1"/>
                <c:pt idx="0">
                  <c:v>0.11688311688311688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'Valore Rosa'!$T$1:$V$1</c15:f>
                <c15:dlblRangeCache>
                  <c:ptCount val="3"/>
                  <c:pt idx="0">
                    <c:v>RCD Suerte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BD33-4AEF-946F-0D6315A74714}"/>
            </c:ext>
          </c:extLst>
        </c:ser>
        <c:ser>
          <c:idx val="14"/>
          <c:order val="14"/>
          <c:tx>
            <c:strRef>
              <c:f>'Valore Rosa'!$W$1</c:f>
              <c:strCache>
                <c:ptCount val="1"/>
                <c:pt idx="0">
                  <c:v>Patatinaikos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8DA82DA-9D6E-489A-9737-B5EBCFEE13FF}" type="CELLRANGE">
                      <a:rPr lang="en-US"/>
                      <a:pPr/>
                      <a:t>[INTERVALLOCELLE]</a:t>
                    </a:fld>
                    <a:r>
                      <a:rPr lang="en-US" baseline="0"/>
                      <a:t>; </a:t>
                    </a:r>
                    <a:fld id="{6CB4D3EA-9776-4344-855B-FE48238F47DA}" type="VALUE">
                      <a:rPr lang="en-US" baseline="0"/>
                      <a:pPr/>
                      <a:t>[VALORE]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Rosa'!$W$79</c:f>
              <c:numCache>
                <c:formatCode>0.0%</c:formatCode>
                <c:ptCount val="1"/>
                <c:pt idx="0">
                  <c:v>-0.11370262390670553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'Valore Rosa'!$W$1:$Y$1</c15:f>
                <c15:dlblRangeCache>
                  <c:ptCount val="3"/>
                  <c:pt idx="0">
                    <c:v>Patatinaikos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BD33-4AEF-946F-0D6315A74714}"/>
            </c:ext>
          </c:extLst>
        </c:ser>
        <c:ser>
          <c:idx val="16"/>
          <c:order val="16"/>
          <c:tx>
            <c:strRef>
              <c:f>'Valore Rosa'!$Z$1</c:f>
              <c:strCache>
                <c:ptCount val="1"/>
                <c:pt idx="0">
                  <c:v>Sampmania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F679C91-892B-4CF6-9CA7-FF613CC1104F}" type="CELLRANGE">
                      <a:rPr lang="en-US"/>
                      <a:pPr/>
                      <a:t>[INTERVALLOCELLE]</a:t>
                    </a:fld>
                    <a:r>
                      <a:rPr lang="en-US" baseline="0"/>
                      <a:t>; </a:t>
                    </a:r>
                    <a:fld id="{43250B7F-3AA8-45F9-8EBA-14A1A3FFE598}" type="VALUE">
                      <a:rPr lang="en-US" baseline="0"/>
                      <a:pPr/>
                      <a:t>[VALORE]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Rosa'!$Z$79</c:f>
              <c:numCache>
                <c:formatCode>0.0%</c:formatCode>
                <c:ptCount val="1"/>
                <c:pt idx="0">
                  <c:v>0.21942446043165467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'Valore Rosa'!$Z$1:$AB$1</c15:f>
                <c15:dlblRangeCache>
                  <c:ptCount val="3"/>
                  <c:pt idx="0">
                    <c:v>Sampmania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BD33-4AEF-946F-0D6315A74714}"/>
            </c:ext>
          </c:extLst>
        </c:ser>
        <c:ser>
          <c:idx val="18"/>
          <c:order val="18"/>
          <c:tx>
            <c:strRef>
              <c:f>'Valore Rosa'!$AC$1</c:f>
              <c:strCache>
                <c:ptCount val="1"/>
                <c:pt idx="0">
                  <c:v>Spacca CFC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7F36E68-17A9-4452-91D7-C077688FC0D2}" type="CELLRANGE">
                      <a:rPr lang="en-US"/>
                      <a:pPr/>
                      <a:t>[INTERVALLOCELLE]</a:t>
                    </a:fld>
                    <a:r>
                      <a:rPr lang="en-US" baseline="0"/>
                      <a:t>; </a:t>
                    </a:r>
                    <a:fld id="{EFB401C5-452A-4F0C-AA99-E8A97D70E2E9}" type="VALUE">
                      <a:rPr lang="en-US" baseline="0"/>
                      <a:pPr/>
                      <a:t>[VALORE]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D33-4AEF-946F-0D6315A74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'Valore Rosa'!$AC$79</c:f>
              <c:numCache>
                <c:formatCode>0.0%</c:formatCode>
                <c:ptCount val="1"/>
                <c:pt idx="0">
                  <c:v>0.13864306784660768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'Valore Rosa'!$AC$1:$AE$1</c15:f>
                <c15:dlblRangeCache>
                  <c:ptCount val="3"/>
                  <c:pt idx="0">
                    <c:v>Spacca CFC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BD33-4AEF-946F-0D6315A74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445744"/>
        <c:axId val="197957595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'Valore Rosa'!$D$1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'Valore Rosa'!$D$79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D33-4AEF-946F-0D6315A7471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Rosa'!$G$1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Rosa'!$G$79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D33-4AEF-946F-0D6315A7471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Rosa'!$J$1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Rosa'!$J$79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D33-4AEF-946F-0D6315A7471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Rosa'!$M$1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Rosa'!$M$79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D33-4AEF-946F-0D6315A7471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Rosa'!$P$1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Rosa'!$P$79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D33-4AEF-946F-0D6315A74714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Rosa'!$S$1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Rosa'!$S$79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D33-4AEF-946F-0D6315A74714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Rosa'!$V$1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Rosa'!$V$79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D33-4AEF-946F-0D6315A74714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Rosa'!$Y$1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Rosa'!$Y$79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D33-4AEF-946F-0D6315A74714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Rosa'!$AB$1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Rosa'!$AB$79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BD33-4AEF-946F-0D6315A74714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Rosa'!$AE$1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'Valore Rosa'!$AE$79</c15:sqref>
                        </c15:formulaRef>
                      </c:ext>
                    </c:extLst>
                    <c:numCache>
                      <c:formatCode>0.0%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BD33-4AEF-946F-0D6315A74714}"/>
                  </c:ext>
                </c:extLst>
              </c15:ser>
            </c15:filteredBarSeries>
          </c:ext>
        </c:extLst>
      </c:barChart>
      <c:catAx>
        <c:axId val="4004457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9575952"/>
        <c:crosses val="autoZero"/>
        <c:auto val="1"/>
        <c:lblAlgn val="ctr"/>
        <c:lblOffset val="100"/>
        <c:noMultiLvlLbl val="0"/>
      </c:catAx>
      <c:valAx>
        <c:axId val="19795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4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Andamento Valore Rosa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'Valore Rosa'!$B$1:$D$1</c:f>
              <c:strCache>
                <c:ptCount val="1"/>
                <c:pt idx="0">
                  <c:v>Straw Dogs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Rosa'!$D$3:$D$39</c:f>
              <c:numCache>
                <c:formatCode>0.0%</c:formatCode>
                <c:ptCount val="37"/>
                <c:pt idx="0">
                  <c:v>0</c:v>
                </c:pt>
                <c:pt idx="1">
                  <c:v>1.0452961672473868E-2</c:v>
                </c:pt>
                <c:pt idx="2">
                  <c:v>-3.4843205574912892E-3</c:v>
                </c:pt>
                <c:pt idx="3">
                  <c:v>0</c:v>
                </c:pt>
                <c:pt idx="4">
                  <c:v>8.7108013937282236E-2</c:v>
                </c:pt>
                <c:pt idx="5">
                  <c:v>9.0592334494773524E-2</c:v>
                </c:pt>
                <c:pt idx="6">
                  <c:v>8.3623693379790948E-2</c:v>
                </c:pt>
                <c:pt idx="7">
                  <c:v>6.968641114982578E-2</c:v>
                </c:pt>
                <c:pt idx="8">
                  <c:v>4.878048780487805E-2</c:v>
                </c:pt>
                <c:pt idx="9">
                  <c:v>3.8327526132404179E-2</c:v>
                </c:pt>
                <c:pt idx="10">
                  <c:v>6.968641114982578E-2</c:v>
                </c:pt>
                <c:pt idx="11">
                  <c:v>4.878048780487805E-2</c:v>
                </c:pt>
                <c:pt idx="12">
                  <c:v>3.484320557491289E-2</c:v>
                </c:pt>
                <c:pt idx="13">
                  <c:v>3.484320557491289E-2</c:v>
                </c:pt>
                <c:pt idx="14">
                  <c:v>3.1358885017421602E-2</c:v>
                </c:pt>
                <c:pt idx="15">
                  <c:v>3.1358885017421602E-2</c:v>
                </c:pt>
                <c:pt idx="16">
                  <c:v>2.0905923344947737E-2</c:v>
                </c:pt>
                <c:pt idx="17">
                  <c:v>2.0905923344947737E-2</c:v>
                </c:pt>
                <c:pt idx="18">
                  <c:v>0</c:v>
                </c:pt>
                <c:pt idx="19">
                  <c:v>1.7421602787456445E-2</c:v>
                </c:pt>
                <c:pt idx="20">
                  <c:v>2.7874564459930314E-2</c:v>
                </c:pt>
                <c:pt idx="21">
                  <c:v>8.3623693379790948E-2</c:v>
                </c:pt>
                <c:pt idx="22">
                  <c:v>8.7108013937282236E-2</c:v>
                </c:pt>
                <c:pt idx="23">
                  <c:v>9.0592334494773524E-2</c:v>
                </c:pt>
                <c:pt idx="24">
                  <c:v>0.10801393728222997</c:v>
                </c:pt>
                <c:pt idx="25">
                  <c:v>0.10801393728222997</c:v>
                </c:pt>
                <c:pt idx="26">
                  <c:v>9.7560975609756101E-2</c:v>
                </c:pt>
                <c:pt idx="27">
                  <c:v>0.10452961672473868</c:v>
                </c:pt>
                <c:pt idx="28">
                  <c:v>8.0139372822299645E-2</c:v>
                </c:pt>
                <c:pt idx="29">
                  <c:v>8.0139372822299645E-2</c:v>
                </c:pt>
                <c:pt idx="30">
                  <c:v>7.3170731707317069E-2</c:v>
                </c:pt>
                <c:pt idx="31">
                  <c:v>5.2264808362369339E-2</c:v>
                </c:pt>
                <c:pt idx="32">
                  <c:v>5.5749128919860627E-2</c:v>
                </c:pt>
                <c:pt idx="33">
                  <c:v>4.878048780487805E-2</c:v>
                </c:pt>
                <c:pt idx="34">
                  <c:v>2.7874564459930314E-2</c:v>
                </c:pt>
                <c:pt idx="35">
                  <c:v>3.1358885017421602E-2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8E-4C90-AAA1-EAAA469B8B3E}"/>
            </c:ext>
          </c:extLst>
        </c:ser>
        <c:ser>
          <c:idx val="3"/>
          <c:order val="1"/>
          <c:tx>
            <c:strRef>
              <c:f>'Valore Rosa'!$E$1:$G$1</c:f>
              <c:strCache>
                <c:ptCount val="1"/>
                <c:pt idx="0">
                  <c:v>Delu Team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Rosa'!$G$3:$G$39</c:f>
              <c:numCache>
                <c:formatCode>0.0%</c:formatCode>
                <c:ptCount val="37"/>
                <c:pt idx="0">
                  <c:v>0</c:v>
                </c:pt>
                <c:pt idx="1">
                  <c:v>1.5936254980079681E-2</c:v>
                </c:pt>
                <c:pt idx="2">
                  <c:v>-1.1952191235059761E-2</c:v>
                </c:pt>
                <c:pt idx="3">
                  <c:v>-1.9920318725099601E-2</c:v>
                </c:pt>
                <c:pt idx="4">
                  <c:v>0.13147410358565736</c:v>
                </c:pt>
                <c:pt idx="5">
                  <c:v>0.11553784860557768</c:v>
                </c:pt>
                <c:pt idx="6">
                  <c:v>0.12749003984063745</c:v>
                </c:pt>
                <c:pt idx="7">
                  <c:v>0.13545816733067728</c:v>
                </c:pt>
                <c:pt idx="8">
                  <c:v>0.15537848605577689</c:v>
                </c:pt>
                <c:pt idx="9">
                  <c:v>0.17928286852589642</c:v>
                </c:pt>
                <c:pt idx="10">
                  <c:v>0.20717131474103587</c:v>
                </c:pt>
                <c:pt idx="11">
                  <c:v>0.21115537848605578</c:v>
                </c:pt>
                <c:pt idx="12">
                  <c:v>0.22310756972111553</c:v>
                </c:pt>
                <c:pt idx="13">
                  <c:v>0.2151394422310757</c:v>
                </c:pt>
                <c:pt idx="14">
                  <c:v>0.17928286852589642</c:v>
                </c:pt>
                <c:pt idx="15">
                  <c:v>0.19521912350597609</c:v>
                </c:pt>
                <c:pt idx="16">
                  <c:v>0.2151394422310757</c:v>
                </c:pt>
                <c:pt idx="17">
                  <c:v>0.23505976095617531</c:v>
                </c:pt>
                <c:pt idx="18">
                  <c:v>0.24302788844621515</c:v>
                </c:pt>
                <c:pt idx="19">
                  <c:v>0.22310756972111553</c:v>
                </c:pt>
                <c:pt idx="20">
                  <c:v>0.21115537848605578</c:v>
                </c:pt>
                <c:pt idx="21">
                  <c:v>0.37051792828685259</c:v>
                </c:pt>
                <c:pt idx="22">
                  <c:v>0.37848605577689243</c:v>
                </c:pt>
                <c:pt idx="23">
                  <c:v>0.36653386454183268</c:v>
                </c:pt>
                <c:pt idx="24">
                  <c:v>0.35458167330677293</c:v>
                </c:pt>
                <c:pt idx="25">
                  <c:v>0.35059760956175301</c:v>
                </c:pt>
                <c:pt idx="26">
                  <c:v>0.33067729083665337</c:v>
                </c:pt>
                <c:pt idx="27">
                  <c:v>0.33067729083665337</c:v>
                </c:pt>
                <c:pt idx="28">
                  <c:v>0.34661354581673309</c:v>
                </c:pt>
                <c:pt idx="29">
                  <c:v>0.35458167330677293</c:v>
                </c:pt>
                <c:pt idx="30">
                  <c:v>0.37051792828685259</c:v>
                </c:pt>
                <c:pt idx="31">
                  <c:v>0.35458167330677293</c:v>
                </c:pt>
                <c:pt idx="32">
                  <c:v>0.36254980079681276</c:v>
                </c:pt>
                <c:pt idx="33">
                  <c:v>0.35458167330677293</c:v>
                </c:pt>
                <c:pt idx="34">
                  <c:v>0.39043824701195218</c:v>
                </c:pt>
                <c:pt idx="35" formatCode="0%">
                  <c:v>0.36653386454183268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8E-4C90-AAA1-EAAA469B8B3E}"/>
            </c:ext>
          </c:extLst>
        </c:ser>
        <c:ser>
          <c:idx val="5"/>
          <c:order val="2"/>
          <c:tx>
            <c:strRef>
              <c:f>'Valore Rosa'!$H$1:$J$1</c:f>
              <c:strCache>
                <c:ptCount val="1"/>
                <c:pt idx="0">
                  <c:v>Trofie 'nfoiate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Rosa'!$J$3:$J$39</c:f>
              <c:numCache>
                <c:formatCode>0.0%</c:formatCode>
                <c:ptCount val="37"/>
                <c:pt idx="0">
                  <c:v>0</c:v>
                </c:pt>
                <c:pt idx="1">
                  <c:v>-1.4792899408284023E-2</c:v>
                </c:pt>
                <c:pt idx="2">
                  <c:v>-2.6627218934911243E-2</c:v>
                </c:pt>
                <c:pt idx="3">
                  <c:v>-1.7751479289940829E-2</c:v>
                </c:pt>
                <c:pt idx="4">
                  <c:v>-3.8461538461538464E-2</c:v>
                </c:pt>
                <c:pt idx="5">
                  <c:v>-4.142011834319527E-2</c:v>
                </c:pt>
                <c:pt idx="6">
                  <c:v>-5.0295857988165681E-2</c:v>
                </c:pt>
                <c:pt idx="7">
                  <c:v>-4.142011834319527E-2</c:v>
                </c:pt>
                <c:pt idx="8">
                  <c:v>-1.7751479289940829E-2</c:v>
                </c:pt>
                <c:pt idx="9">
                  <c:v>-4.142011834319527E-2</c:v>
                </c:pt>
                <c:pt idx="10">
                  <c:v>-3.2544378698224852E-2</c:v>
                </c:pt>
                <c:pt idx="11">
                  <c:v>-4.142011834319527E-2</c:v>
                </c:pt>
                <c:pt idx="12">
                  <c:v>-3.8461538461538464E-2</c:v>
                </c:pt>
                <c:pt idx="13">
                  <c:v>-4.4378698224852069E-2</c:v>
                </c:pt>
                <c:pt idx="14">
                  <c:v>-4.7337278106508875E-2</c:v>
                </c:pt>
                <c:pt idx="15">
                  <c:v>-4.7337278106508875E-2</c:v>
                </c:pt>
                <c:pt idx="16">
                  <c:v>-4.142011834319527E-2</c:v>
                </c:pt>
                <c:pt idx="17">
                  <c:v>-5.0295857988165681E-2</c:v>
                </c:pt>
                <c:pt idx="18">
                  <c:v>-5.6213017751479293E-2</c:v>
                </c:pt>
                <c:pt idx="19">
                  <c:v>-4.7337278106508875E-2</c:v>
                </c:pt>
                <c:pt idx="20">
                  <c:v>-3.5502958579881658E-2</c:v>
                </c:pt>
                <c:pt idx="21">
                  <c:v>0.6775147928994083</c:v>
                </c:pt>
                <c:pt idx="22">
                  <c:v>0.68639053254437865</c:v>
                </c:pt>
                <c:pt idx="23">
                  <c:v>0.69230769230769229</c:v>
                </c:pt>
                <c:pt idx="24">
                  <c:v>0.68639053254437865</c:v>
                </c:pt>
                <c:pt idx="25">
                  <c:v>0.68343195266272194</c:v>
                </c:pt>
                <c:pt idx="26">
                  <c:v>0.70414201183431957</c:v>
                </c:pt>
                <c:pt idx="27">
                  <c:v>0.68934911242603547</c:v>
                </c:pt>
                <c:pt idx="28">
                  <c:v>0.70118343195266275</c:v>
                </c:pt>
                <c:pt idx="29">
                  <c:v>0.68343195266272194</c:v>
                </c:pt>
                <c:pt idx="30">
                  <c:v>0.68343195266272194</c:v>
                </c:pt>
                <c:pt idx="31">
                  <c:v>0.68639053254437865</c:v>
                </c:pt>
                <c:pt idx="32">
                  <c:v>0.68934911242603547</c:v>
                </c:pt>
                <c:pt idx="33">
                  <c:v>0.70118343195266275</c:v>
                </c:pt>
                <c:pt idx="34">
                  <c:v>0.70118343195266275</c:v>
                </c:pt>
                <c:pt idx="35">
                  <c:v>0.70414201183431957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8E-4C90-AAA1-EAAA469B8B3E}"/>
            </c:ext>
          </c:extLst>
        </c:ser>
        <c:ser>
          <c:idx val="7"/>
          <c:order val="3"/>
          <c:tx>
            <c:strRef>
              <c:f>'Valore Rosa'!$K$1:$M$1</c:f>
              <c:strCache>
                <c:ptCount val="1"/>
                <c:pt idx="0">
                  <c:v>Mambo FC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Rosa'!$M$3:$M$39</c:f>
              <c:numCache>
                <c:formatCode>0.0%</c:formatCode>
                <c:ptCount val="37"/>
                <c:pt idx="0">
                  <c:v>0</c:v>
                </c:pt>
                <c:pt idx="1">
                  <c:v>3.3444816053511705E-3</c:v>
                </c:pt>
                <c:pt idx="2">
                  <c:v>0</c:v>
                </c:pt>
                <c:pt idx="3">
                  <c:v>-2.0066889632107024E-2</c:v>
                </c:pt>
                <c:pt idx="4">
                  <c:v>-6.688963210702341E-3</c:v>
                </c:pt>
                <c:pt idx="5">
                  <c:v>-2.3411371237458192E-2</c:v>
                </c:pt>
                <c:pt idx="6">
                  <c:v>-5.016722408026756E-2</c:v>
                </c:pt>
                <c:pt idx="7">
                  <c:v>-4.3478260869565216E-2</c:v>
                </c:pt>
                <c:pt idx="8">
                  <c:v>-3.0100334448160536E-2</c:v>
                </c:pt>
                <c:pt idx="9">
                  <c:v>-3.678929765886288E-2</c:v>
                </c:pt>
                <c:pt idx="10">
                  <c:v>-3.0100334448160536E-2</c:v>
                </c:pt>
                <c:pt idx="11">
                  <c:v>-5.016722408026756E-2</c:v>
                </c:pt>
                <c:pt idx="12">
                  <c:v>-8.3612040133779264E-2</c:v>
                </c:pt>
                <c:pt idx="13">
                  <c:v>-8.6956521739130432E-2</c:v>
                </c:pt>
                <c:pt idx="14">
                  <c:v>-0.12040133779264214</c:v>
                </c:pt>
                <c:pt idx="15">
                  <c:v>-0.11371237458193979</c:v>
                </c:pt>
                <c:pt idx="16">
                  <c:v>-9.6989966555183951E-2</c:v>
                </c:pt>
                <c:pt idx="17">
                  <c:v>-0.11036789297658862</c:v>
                </c:pt>
                <c:pt idx="18">
                  <c:v>-8.0267558528428096E-2</c:v>
                </c:pt>
                <c:pt idx="19">
                  <c:v>-6.354515050167224E-2</c:v>
                </c:pt>
                <c:pt idx="20">
                  <c:v>-7.0234113712374577E-2</c:v>
                </c:pt>
                <c:pt idx="21">
                  <c:v>-6.6889632107023408E-2</c:v>
                </c:pt>
                <c:pt idx="22">
                  <c:v>-6.354515050167224E-2</c:v>
                </c:pt>
                <c:pt idx="23">
                  <c:v>-6.354515050167224E-2</c:v>
                </c:pt>
                <c:pt idx="24">
                  <c:v>-5.016722408026756E-2</c:v>
                </c:pt>
                <c:pt idx="25">
                  <c:v>-5.3511705685618728E-2</c:v>
                </c:pt>
                <c:pt idx="26">
                  <c:v>-3.678929765886288E-2</c:v>
                </c:pt>
                <c:pt idx="27">
                  <c:v>-6.354515050167224E-2</c:v>
                </c:pt>
                <c:pt idx="28">
                  <c:v>-6.354515050167224E-2</c:v>
                </c:pt>
                <c:pt idx="29">
                  <c:v>-6.0200668896321072E-2</c:v>
                </c:pt>
                <c:pt idx="30">
                  <c:v>-5.6856187290969896E-2</c:v>
                </c:pt>
                <c:pt idx="31">
                  <c:v>-6.0200668896321072E-2</c:v>
                </c:pt>
                <c:pt idx="32">
                  <c:v>-6.6889632107023408E-2</c:v>
                </c:pt>
                <c:pt idx="33">
                  <c:v>-7.3578595317725759E-2</c:v>
                </c:pt>
                <c:pt idx="34">
                  <c:v>-8.0267558528428096E-2</c:v>
                </c:pt>
                <c:pt idx="35">
                  <c:v>-9.0301003344481601E-2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58E-4C90-AAA1-EAAA469B8B3E}"/>
            </c:ext>
          </c:extLst>
        </c:ser>
        <c:ser>
          <c:idx val="9"/>
          <c:order val="4"/>
          <c:tx>
            <c:strRef>
              <c:f>'Valore Rosa'!$N$1:$P$1</c:f>
              <c:strCache>
                <c:ptCount val="1"/>
                <c:pt idx="0">
                  <c:v>Manzoteam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Rosa'!$P$3:$P$39</c:f>
              <c:numCache>
                <c:formatCode>0.0%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-1.3157894736842105E-2</c:v>
                </c:pt>
                <c:pt idx="3">
                  <c:v>-8.771929824561403E-3</c:v>
                </c:pt>
                <c:pt idx="4">
                  <c:v>0.15789473684210525</c:v>
                </c:pt>
                <c:pt idx="5">
                  <c:v>0.17543859649122806</c:v>
                </c:pt>
                <c:pt idx="6">
                  <c:v>0.16666666666666666</c:v>
                </c:pt>
                <c:pt idx="7">
                  <c:v>0.14912280701754385</c:v>
                </c:pt>
                <c:pt idx="8">
                  <c:v>0.16666666666666666</c:v>
                </c:pt>
                <c:pt idx="9">
                  <c:v>0.14912280701754385</c:v>
                </c:pt>
                <c:pt idx="10">
                  <c:v>0.16228070175438597</c:v>
                </c:pt>
                <c:pt idx="11">
                  <c:v>0.18859649122807018</c:v>
                </c:pt>
                <c:pt idx="12">
                  <c:v>0.21491228070175439</c:v>
                </c:pt>
                <c:pt idx="13">
                  <c:v>0.22368421052631579</c:v>
                </c:pt>
                <c:pt idx="14">
                  <c:v>0.24561403508771928</c:v>
                </c:pt>
                <c:pt idx="15">
                  <c:v>0.2412280701754386</c:v>
                </c:pt>
                <c:pt idx="16">
                  <c:v>0.23684210526315788</c:v>
                </c:pt>
                <c:pt idx="17">
                  <c:v>0.24561403508771928</c:v>
                </c:pt>
                <c:pt idx="18">
                  <c:v>0.21491228070175439</c:v>
                </c:pt>
                <c:pt idx="19">
                  <c:v>0.17105263157894737</c:v>
                </c:pt>
                <c:pt idx="20">
                  <c:v>0.14912280701754385</c:v>
                </c:pt>
                <c:pt idx="21">
                  <c:v>0.42543859649122806</c:v>
                </c:pt>
                <c:pt idx="22">
                  <c:v>0.43859649122807015</c:v>
                </c:pt>
                <c:pt idx="23">
                  <c:v>0.43859649122807015</c:v>
                </c:pt>
                <c:pt idx="24">
                  <c:v>0.42982456140350878</c:v>
                </c:pt>
                <c:pt idx="25">
                  <c:v>0.42105263157894735</c:v>
                </c:pt>
                <c:pt idx="26">
                  <c:v>0.43859649122807015</c:v>
                </c:pt>
                <c:pt idx="27">
                  <c:v>0.42543859649122806</c:v>
                </c:pt>
                <c:pt idx="28">
                  <c:v>0.4517543859649123</c:v>
                </c:pt>
                <c:pt idx="29">
                  <c:v>0.45614035087719296</c:v>
                </c:pt>
                <c:pt idx="30">
                  <c:v>0.46052631578947367</c:v>
                </c:pt>
                <c:pt idx="31">
                  <c:v>0.4692982456140351</c:v>
                </c:pt>
                <c:pt idx="32">
                  <c:v>0.46491228070175439</c:v>
                </c:pt>
                <c:pt idx="33">
                  <c:v>0.43859649122807015</c:v>
                </c:pt>
                <c:pt idx="34">
                  <c:v>0.43859649122807015</c:v>
                </c:pt>
                <c:pt idx="35">
                  <c:v>0.44298245614035087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8E-4C90-AAA1-EAAA469B8B3E}"/>
            </c:ext>
          </c:extLst>
        </c:ser>
        <c:ser>
          <c:idx val="11"/>
          <c:order val="5"/>
          <c:tx>
            <c:strRef>
              <c:f>'Valore Rosa'!$Q$1:$S$1</c:f>
              <c:strCache>
                <c:ptCount val="1"/>
                <c:pt idx="0">
                  <c:v>Mojito FC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Rosa'!$S$3:$S$39</c:f>
              <c:numCache>
                <c:formatCode>0.0%</c:formatCode>
                <c:ptCount val="37"/>
                <c:pt idx="0">
                  <c:v>0</c:v>
                </c:pt>
                <c:pt idx="1">
                  <c:v>3.5335689045936395E-3</c:v>
                </c:pt>
                <c:pt idx="2">
                  <c:v>3.5335689045936395E-3</c:v>
                </c:pt>
                <c:pt idx="3">
                  <c:v>1.0600706713780919E-2</c:v>
                </c:pt>
                <c:pt idx="4">
                  <c:v>0.22968197879858657</c:v>
                </c:pt>
                <c:pt idx="5">
                  <c:v>0.22968197879858657</c:v>
                </c:pt>
                <c:pt idx="6">
                  <c:v>0.22614840989399293</c:v>
                </c:pt>
                <c:pt idx="7">
                  <c:v>0.21554770318021202</c:v>
                </c:pt>
                <c:pt idx="8">
                  <c:v>0.20141342756183744</c:v>
                </c:pt>
                <c:pt idx="9">
                  <c:v>0.20141342756183744</c:v>
                </c:pt>
                <c:pt idx="10">
                  <c:v>0.19081272084805653</c:v>
                </c:pt>
                <c:pt idx="11">
                  <c:v>0.18374558303886926</c:v>
                </c:pt>
                <c:pt idx="12">
                  <c:v>0.19081272084805653</c:v>
                </c:pt>
                <c:pt idx="13">
                  <c:v>0.21554770318021202</c:v>
                </c:pt>
                <c:pt idx="14">
                  <c:v>0.21554770318021202</c:v>
                </c:pt>
                <c:pt idx="15">
                  <c:v>0.19787985865724381</c:v>
                </c:pt>
                <c:pt idx="16">
                  <c:v>0.19081272084805653</c:v>
                </c:pt>
                <c:pt idx="17">
                  <c:v>0.20848056537102475</c:v>
                </c:pt>
                <c:pt idx="18">
                  <c:v>0.21201413427561838</c:v>
                </c:pt>
                <c:pt idx="19">
                  <c:v>0.22261484098939929</c:v>
                </c:pt>
                <c:pt idx="20">
                  <c:v>0.24028268551236748</c:v>
                </c:pt>
                <c:pt idx="21">
                  <c:v>0.33568904593639576</c:v>
                </c:pt>
                <c:pt idx="22">
                  <c:v>0.30742049469964666</c:v>
                </c:pt>
                <c:pt idx="23">
                  <c:v>0.32508833922261482</c:v>
                </c:pt>
                <c:pt idx="24">
                  <c:v>0.32508833922261482</c:v>
                </c:pt>
                <c:pt idx="25">
                  <c:v>0.32508833922261482</c:v>
                </c:pt>
                <c:pt idx="26">
                  <c:v>0.33215547703180209</c:v>
                </c:pt>
                <c:pt idx="27">
                  <c:v>0.33215547703180209</c:v>
                </c:pt>
                <c:pt idx="28">
                  <c:v>0.32155477031802121</c:v>
                </c:pt>
                <c:pt idx="29">
                  <c:v>0.31095406360424027</c:v>
                </c:pt>
                <c:pt idx="30">
                  <c:v>0.32155477031802121</c:v>
                </c:pt>
                <c:pt idx="31">
                  <c:v>0.31802120141342755</c:v>
                </c:pt>
                <c:pt idx="32">
                  <c:v>0.30035335689045939</c:v>
                </c:pt>
                <c:pt idx="33">
                  <c:v>0.28975265017667845</c:v>
                </c:pt>
                <c:pt idx="34">
                  <c:v>0.26501766784452296</c:v>
                </c:pt>
                <c:pt idx="35">
                  <c:v>0.25441696113074203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58E-4C90-AAA1-EAAA469B8B3E}"/>
            </c:ext>
          </c:extLst>
        </c:ser>
        <c:ser>
          <c:idx val="13"/>
          <c:order val="6"/>
          <c:tx>
            <c:strRef>
              <c:f>'Valore Rosa'!$T$1:$V$1</c:f>
              <c:strCache>
                <c:ptCount val="1"/>
                <c:pt idx="0">
                  <c:v>RCD Suerte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Rosa'!$V$3:$V$39</c:f>
              <c:numCache>
                <c:formatCode>0.0%</c:formatCode>
                <c:ptCount val="37"/>
                <c:pt idx="0">
                  <c:v>0</c:v>
                </c:pt>
                <c:pt idx="1">
                  <c:v>-2.922077922077922E-2</c:v>
                </c:pt>
                <c:pt idx="2">
                  <c:v>-6.4935064935064939E-3</c:v>
                </c:pt>
                <c:pt idx="3">
                  <c:v>-1.6233766233766232E-2</c:v>
                </c:pt>
                <c:pt idx="4">
                  <c:v>-2.922077922077922E-2</c:v>
                </c:pt>
                <c:pt idx="5">
                  <c:v>-2.2727272727272728E-2</c:v>
                </c:pt>
                <c:pt idx="6">
                  <c:v>-6.4935064935064939E-3</c:v>
                </c:pt>
                <c:pt idx="7">
                  <c:v>-2.2727272727272728E-2</c:v>
                </c:pt>
                <c:pt idx="8">
                  <c:v>-2.5974025974025976E-2</c:v>
                </c:pt>
                <c:pt idx="9">
                  <c:v>-5.5194805194805192E-2</c:v>
                </c:pt>
                <c:pt idx="10">
                  <c:v>-6.8181818181818177E-2</c:v>
                </c:pt>
                <c:pt idx="11">
                  <c:v>-9.0909090909090912E-2</c:v>
                </c:pt>
                <c:pt idx="12">
                  <c:v>-0.13636363636363635</c:v>
                </c:pt>
                <c:pt idx="13">
                  <c:v>-0.15259740259740259</c:v>
                </c:pt>
                <c:pt idx="14">
                  <c:v>-0.12987012987012986</c:v>
                </c:pt>
                <c:pt idx="15">
                  <c:v>-0.1396103896103896</c:v>
                </c:pt>
                <c:pt idx="16">
                  <c:v>-0.12987012987012986</c:v>
                </c:pt>
                <c:pt idx="17">
                  <c:v>-0.12012987012987013</c:v>
                </c:pt>
                <c:pt idx="18">
                  <c:v>-0.12987012987012986</c:v>
                </c:pt>
                <c:pt idx="19">
                  <c:v>-0.12337662337662338</c:v>
                </c:pt>
                <c:pt idx="20">
                  <c:v>-0.12337662337662338</c:v>
                </c:pt>
                <c:pt idx="21">
                  <c:v>0.11688311688311688</c:v>
                </c:pt>
                <c:pt idx="22">
                  <c:v>0.12337662337662338</c:v>
                </c:pt>
                <c:pt idx="23">
                  <c:v>0.10064935064935066</c:v>
                </c:pt>
                <c:pt idx="24">
                  <c:v>0.11688311688311688</c:v>
                </c:pt>
                <c:pt idx="25">
                  <c:v>0.11363636363636363</c:v>
                </c:pt>
                <c:pt idx="26">
                  <c:v>0.12012987012987013</c:v>
                </c:pt>
                <c:pt idx="27">
                  <c:v>0.12987012987012986</c:v>
                </c:pt>
                <c:pt idx="28">
                  <c:v>0.13636363636363635</c:v>
                </c:pt>
                <c:pt idx="29">
                  <c:v>0.12987012987012986</c:v>
                </c:pt>
                <c:pt idx="30">
                  <c:v>0.14285714285714285</c:v>
                </c:pt>
                <c:pt idx="31">
                  <c:v>0.11688311688311688</c:v>
                </c:pt>
                <c:pt idx="32">
                  <c:v>0.11688311688311688</c:v>
                </c:pt>
                <c:pt idx="33">
                  <c:v>0.12987012987012986</c:v>
                </c:pt>
                <c:pt idx="34">
                  <c:v>0.11688311688311688</c:v>
                </c:pt>
                <c:pt idx="35">
                  <c:v>0.11688311688311688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58E-4C90-AAA1-EAAA469B8B3E}"/>
            </c:ext>
          </c:extLst>
        </c:ser>
        <c:ser>
          <c:idx val="15"/>
          <c:order val="7"/>
          <c:tx>
            <c:strRef>
              <c:f>'Valore Rosa'!$W$1:$Y$1</c:f>
              <c:strCache>
                <c:ptCount val="1"/>
                <c:pt idx="0">
                  <c:v>Patatinaikos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Rosa'!$Y$3:$Y$39</c:f>
              <c:numCache>
                <c:formatCode>0.0%</c:formatCode>
                <c:ptCount val="37"/>
                <c:pt idx="0">
                  <c:v>0</c:v>
                </c:pt>
                <c:pt idx="1">
                  <c:v>-1.4577259475218658E-2</c:v>
                </c:pt>
                <c:pt idx="2">
                  <c:v>-2.9154518950437316E-2</c:v>
                </c:pt>
                <c:pt idx="3">
                  <c:v>-4.9562682215743441E-2</c:v>
                </c:pt>
                <c:pt idx="4">
                  <c:v>-7.2886297376093298E-2</c:v>
                </c:pt>
                <c:pt idx="5">
                  <c:v>-0.10204081632653061</c:v>
                </c:pt>
                <c:pt idx="6">
                  <c:v>-0.12244897959183673</c:v>
                </c:pt>
                <c:pt idx="7">
                  <c:v>-0.14285714285714285</c:v>
                </c:pt>
                <c:pt idx="8">
                  <c:v>-0.16326530612244897</c:v>
                </c:pt>
                <c:pt idx="9">
                  <c:v>-0.16618075801749271</c:v>
                </c:pt>
                <c:pt idx="10">
                  <c:v>-0.17201166180758018</c:v>
                </c:pt>
                <c:pt idx="11">
                  <c:v>-0.16618075801749271</c:v>
                </c:pt>
                <c:pt idx="12">
                  <c:v>-0.18367346938775511</c:v>
                </c:pt>
                <c:pt idx="13">
                  <c:v>-0.18950437317784258</c:v>
                </c:pt>
                <c:pt idx="14">
                  <c:v>-0.20699708454810495</c:v>
                </c:pt>
                <c:pt idx="15">
                  <c:v>-0.20116618075801748</c:v>
                </c:pt>
                <c:pt idx="16">
                  <c:v>-0.19825072886297376</c:v>
                </c:pt>
                <c:pt idx="17">
                  <c:v>-0.18367346938775511</c:v>
                </c:pt>
                <c:pt idx="18">
                  <c:v>-0.20408163265306123</c:v>
                </c:pt>
                <c:pt idx="19">
                  <c:v>-0.20408163265306123</c:v>
                </c:pt>
                <c:pt idx="20">
                  <c:v>-0.1924198250728863</c:v>
                </c:pt>
                <c:pt idx="21">
                  <c:v>-0.16326530612244897</c:v>
                </c:pt>
                <c:pt idx="22">
                  <c:v>-0.1282798833819242</c:v>
                </c:pt>
                <c:pt idx="23">
                  <c:v>-0.11661807580174927</c:v>
                </c:pt>
                <c:pt idx="24">
                  <c:v>-0.1457725947521866</c:v>
                </c:pt>
                <c:pt idx="25">
                  <c:v>-0.13411078717201166</c:v>
                </c:pt>
                <c:pt idx="26">
                  <c:v>-0.13702623906705538</c:v>
                </c:pt>
                <c:pt idx="27">
                  <c:v>-0.13119533527696792</c:v>
                </c:pt>
                <c:pt idx="28">
                  <c:v>-0.14285714285714285</c:v>
                </c:pt>
                <c:pt idx="29">
                  <c:v>-0.13702623906705538</c:v>
                </c:pt>
                <c:pt idx="30">
                  <c:v>-0.12244897959183673</c:v>
                </c:pt>
                <c:pt idx="31">
                  <c:v>-0.10787172011661808</c:v>
                </c:pt>
                <c:pt idx="32">
                  <c:v>-0.10787172011661808</c:v>
                </c:pt>
                <c:pt idx="33">
                  <c:v>-0.10787172011661808</c:v>
                </c:pt>
                <c:pt idx="34">
                  <c:v>-0.11370262390670553</c:v>
                </c:pt>
                <c:pt idx="35">
                  <c:v>-0.11370262390670553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58E-4C90-AAA1-EAAA469B8B3E}"/>
            </c:ext>
          </c:extLst>
        </c:ser>
        <c:ser>
          <c:idx val="17"/>
          <c:order val="8"/>
          <c:tx>
            <c:strRef>
              <c:f>'Valore Rosa'!$Z$1:$AB$1</c:f>
              <c:strCache>
                <c:ptCount val="1"/>
                <c:pt idx="0">
                  <c:v>Sampmania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Rosa'!$AB$3:$AB$39</c:f>
              <c:numCache>
                <c:formatCode>0.0%</c:formatCode>
                <c:ptCount val="37"/>
                <c:pt idx="0">
                  <c:v>0</c:v>
                </c:pt>
                <c:pt idx="1">
                  <c:v>2.8776978417266189E-2</c:v>
                </c:pt>
                <c:pt idx="2">
                  <c:v>2.5179856115107913E-2</c:v>
                </c:pt>
                <c:pt idx="3">
                  <c:v>0</c:v>
                </c:pt>
                <c:pt idx="4">
                  <c:v>6.83453237410072E-2</c:v>
                </c:pt>
                <c:pt idx="5">
                  <c:v>6.1151079136690649E-2</c:v>
                </c:pt>
                <c:pt idx="6">
                  <c:v>3.9568345323741004E-2</c:v>
                </c:pt>
                <c:pt idx="7">
                  <c:v>3.9568345323741004E-2</c:v>
                </c:pt>
                <c:pt idx="8">
                  <c:v>1.7985611510791366E-2</c:v>
                </c:pt>
                <c:pt idx="9">
                  <c:v>3.5971223021582732E-2</c:v>
                </c:pt>
                <c:pt idx="10">
                  <c:v>1.0791366906474821E-2</c:v>
                </c:pt>
                <c:pt idx="11">
                  <c:v>2.8776978417266189E-2</c:v>
                </c:pt>
                <c:pt idx="12">
                  <c:v>1.0791366906474821E-2</c:v>
                </c:pt>
                <c:pt idx="13">
                  <c:v>2.1582733812949641E-2</c:v>
                </c:pt>
                <c:pt idx="14">
                  <c:v>1.0791366906474821E-2</c:v>
                </c:pt>
                <c:pt idx="15">
                  <c:v>2.8776978417266189E-2</c:v>
                </c:pt>
                <c:pt idx="16">
                  <c:v>3.9568345323741004E-2</c:v>
                </c:pt>
                <c:pt idx="17">
                  <c:v>2.8776978417266189E-2</c:v>
                </c:pt>
                <c:pt idx="18">
                  <c:v>3.5971223021582732E-2</c:v>
                </c:pt>
                <c:pt idx="19">
                  <c:v>3.5971223021582732E-2</c:v>
                </c:pt>
                <c:pt idx="20">
                  <c:v>3.9568345323741004E-2</c:v>
                </c:pt>
                <c:pt idx="21">
                  <c:v>0.30215827338129497</c:v>
                </c:pt>
                <c:pt idx="22">
                  <c:v>0.2805755395683453</c:v>
                </c:pt>
                <c:pt idx="23">
                  <c:v>0.27697841726618705</c:v>
                </c:pt>
                <c:pt idx="24">
                  <c:v>0.28776978417266186</c:v>
                </c:pt>
                <c:pt idx="25">
                  <c:v>0.27697841726618705</c:v>
                </c:pt>
                <c:pt idx="26">
                  <c:v>0.28417266187050361</c:v>
                </c:pt>
                <c:pt idx="27">
                  <c:v>0.2805755395683453</c:v>
                </c:pt>
                <c:pt idx="28">
                  <c:v>0.28776978417266186</c:v>
                </c:pt>
                <c:pt idx="29">
                  <c:v>0.26258992805755393</c:v>
                </c:pt>
                <c:pt idx="30">
                  <c:v>0.25539568345323743</c:v>
                </c:pt>
                <c:pt idx="31">
                  <c:v>0.26258992805755393</c:v>
                </c:pt>
                <c:pt idx="32">
                  <c:v>0.25179856115107913</c:v>
                </c:pt>
                <c:pt idx="33">
                  <c:v>0.23021582733812951</c:v>
                </c:pt>
                <c:pt idx="34">
                  <c:v>0.23021582733812951</c:v>
                </c:pt>
                <c:pt idx="35">
                  <c:v>0.21942446043165467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58E-4C90-AAA1-EAAA469B8B3E}"/>
            </c:ext>
          </c:extLst>
        </c:ser>
        <c:ser>
          <c:idx val="19"/>
          <c:order val="9"/>
          <c:tx>
            <c:strRef>
              <c:f>'Valore Rosa'!$AC$1:$AE$1</c:f>
              <c:strCache>
                <c:ptCount val="1"/>
                <c:pt idx="0">
                  <c:v>Spacca CFC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numRef>
              <c:f>'Valore Rosa'!$A$3:$A$39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cat>
          <c:val>
            <c:numRef>
              <c:f>'Valore Rosa'!$AE$3:$AE$39</c:f>
              <c:numCache>
                <c:formatCode>0.0%</c:formatCode>
                <c:ptCount val="37"/>
                <c:pt idx="0">
                  <c:v>0</c:v>
                </c:pt>
                <c:pt idx="1">
                  <c:v>5.8997050147492625E-3</c:v>
                </c:pt>
                <c:pt idx="2">
                  <c:v>3.2448377581120944E-2</c:v>
                </c:pt>
                <c:pt idx="3">
                  <c:v>4.1297935103244837E-2</c:v>
                </c:pt>
                <c:pt idx="4">
                  <c:v>3.8348082595870206E-2</c:v>
                </c:pt>
                <c:pt idx="5">
                  <c:v>3.2448377581120944E-2</c:v>
                </c:pt>
                <c:pt idx="6">
                  <c:v>6.1946902654867256E-2</c:v>
                </c:pt>
                <c:pt idx="7">
                  <c:v>9.1445427728613568E-2</c:v>
                </c:pt>
                <c:pt idx="8">
                  <c:v>9.4395280235988199E-2</c:v>
                </c:pt>
                <c:pt idx="9">
                  <c:v>9.7345132743362831E-2</c:v>
                </c:pt>
                <c:pt idx="10">
                  <c:v>0.10914454277286136</c:v>
                </c:pt>
                <c:pt idx="11">
                  <c:v>0.10324483775811209</c:v>
                </c:pt>
                <c:pt idx="12">
                  <c:v>0.12389380530973451</c:v>
                </c:pt>
                <c:pt idx="13">
                  <c:v>0.12389380530973451</c:v>
                </c:pt>
                <c:pt idx="14">
                  <c:v>0.11799410029498525</c:v>
                </c:pt>
                <c:pt idx="15">
                  <c:v>0.12389380530973451</c:v>
                </c:pt>
                <c:pt idx="16">
                  <c:v>0.12979351032448377</c:v>
                </c:pt>
                <c:pt idx="17">
                  <c:v>0.10914454277286136</c:v>
                </c:pt>
                <c:pt idx="18">
                  <c:v>0.10619469026548672</c:v>
                </c:pt>
                <c:pt idx="19">
                  <c:v>0.15929203539823009</c:v>
                </c:pt>
                <c:pt idx="20">
                  <c:v>0.14749262536873156</c:v>
                </c:pt>
                <c:pt idx="21">
                  <c:v>0.12094395280235988</c:v>
                </c:pt>
                <c:pt idx="22">
                  <c:v>0.12684365781710916</c:v>
                </c:pt>
                <c:pt idx="23">
                  <c:v>0.15044247787610621</c:v>
                </c:pt>
                <c:pt idx="24">
                  <c:v>0.16814159292035399</c:v>
                </c:pt>
                <c:pt idx="25">
                  <c:v>0.15634218289085547</c:v>
                </c:pt>
                <c:pt idx="26">
                  <c:v>0.16519174041297935</c:v>
                </c:pt>
                <c:pt idx="27">
                  <c:v>0.17699115044247787</c:v>
                </c:pt>
                <c:pt idx="28">
                  <c:v>0.16519174041297935</c:v>
                </c:pt>
                <c:pt idx="29">
                  <c:v>0.16519174041297935</c:v>
                </c:pt>
                <c:pt idx="30">
                  <c:v>0.17109144542772861</c:v>
                </c:pt>
                <c:pt idx="31">
                  <c:v>0.15044247787610621</c:v>
                </c:pt>
                <c:pt idx="32">
                  <c:v>0.15339233038348082</c:v>
                </c:pt>
                <c:pt idx="33">
                  <c:v>0.1415929203539823</c:v>
                </c:pt>
                <c:pt idx="34">
                  <c:v>0.14749262536873156</c:v>
                </c:pt>
                <c:pt idx="35">
                  <c:v>0.13864306784660768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58E-4C90-AAA1-EAAA469B8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6339583"/>
        <c:axId val="776110751"/>
      </c:lineChart>
      <c:catAx>
        <c:axId val="74633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110751"/>
        <c:crosses val="autoZero"/>
        <c:auto val="1"/>
        <c:lblAlgn val="ctr"/>
        <c:lblOffset val="100"/>
        <c:noMultiLvlLbl val="0"/>
      </c:catAx>
      <c:valAx>
        <c:axId val="77611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33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Posizione</a:t>
            </a:r>
            <a:r>
              <a:rPr lang="it-IT" b="1" baseline="0"/>
              <a:t> Campionato</a:t>
            </a:r>
            <a:endParaRPr lang="it-IT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'Albo D''Oro'!$A$14</c:f>
              <c:strCache>
                <c:ptCount val="1"/>
                <c:pt idx="0">
                  <c:v>STRAW DOGS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'Albo D''Oro'!$B$13:$K$13</c:f>
              <c:strCache>
                <c:ptCount val="10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  <c:pt idx="9">
                  <c:v>2025-2026</c:v>
                </c:pt>
              </c:strCache>
            </c:strRef>
          </c:cat>
          <c:val>
            <c:numRef>
              <c:f>'Albo D''Oro'!$B$14:$K$14</c:f>
              <c:numCache>
                <c:formatCode>General</c:formatCode>
                <c:ptCount val="10"/>
                <c:pt idx="2">
                  <c:v>8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B-463C-B1FD-C5CB2504CE1F}"/>
            </c:ext>
          </c:extLst>
        </c:ser>
        <c:ser>
          <c:idx val="1"/>
          <c:order val="1"/>
          <c:tx>
            <c:strRef>
              <c:f>'Albo D''Oro'!$A$15</c:f>
              <c:strCache>
                <c:ptCount val="1"/>
                <c:pt idx="0">
                  <c:v>DELU TEAM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'Albo D''Oro'!$B$13:$K$13</c:f>
              <c:strCache>
                <c:ptCount val="10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  <c:pt idx="9">
                  <c:v>2025-2026</c:v>
                </c:pt>
              </c:strCache>
            </c:strRef>
          </c:cat>
          <c:val>
            <c:numRef>
              <c:f>'Albo D''Oro'!$B$15:$K$15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9</c:v>
                </c:pt>
                <c:pt idx="6">
                  <c:v>8</c:v>
                </c:pt>
                <c:pt idx="7">
                  <c:v>1</c:v>
                </c:pt>
                <c:pt idx="8">
                  <c:v>6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B-463C-B1FD-C5CB2504CE1F}"/>
            </c:ext>
          </c:extLst>
        </c:ser>
        <c:ser>
          <c:idx val="2"/>
          <c:order val="2"/>
          <c:tx>
            <c:strRef>
              <c:f>'Albo D''Oro'!$A$16</c:f>
              <c:strCache>
                <c:ptCount val="1"/>
                <c:pt idx="0">
                  <c:v>TROFIE 'NFOIATE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'Albo D''Oro'!$B$13:$K$13</c:f>
              <c:strCache>
                <c:ptCount val="10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  <c:pt idx="9">
                  <c:v>2025-2026</c:v>
                </c:pt>
              </c:strCache>
            </c:strRef>
          </c:cat>
          <c:val>
            <c:numRef>
              <c:f>'Albo D''Oro'!$B$16:$K$16</c:f>
              <c:numCache>
                <c:formatCode>General</c:formatCode>
                <c:ptCount val="10"/>
                <c:pt idx="0">
                  <c:v>5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2</c:v>
                </c:pt>
                <c:pt idx="5">
                  <c:v>8</c:v>
                </c:pt>
                <c:pt idx="6">
                  <c:v>3</c:v>
                </c:pt>
                <c:pt idx="7">
                  <c:v>6</c:v>
                </c:pt>
                <c:pt idx="8">
                  <c:v>10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8B-463C-B1FD-C5CB2504CE1F}"/>
            </c:ext>
          </c:extLst>
        </c:ser>
        <c:ser>
          <c:idx val="3"/>
          <c:order val="3"/>
          <c:tx>
            <c:strRef>
              <c:f>'Albo D''Oro'!$A$17</c:f>
              <c:strCache>
                <c:ptCount val="1"/>
                <c:pt idx="0">
                  <c:v>MAMBO FC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'Albo D''Oro'!$B$13:$K$13</c:f>
              <c:strCache>
                <c:ptCount val="10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  <c:pt idx="9">
                  <c:v>2025-2026</c:v>
                </c:pt>
              </c:strCache>
            </c:strRef>
          </c:cat>
          <c:val>
            <c:numRef>
              <c:f>'Albo D''Oro'!$B$17:$K$17</c:f>
              <c:numCache>
                <c:formatCode>General</c:formatCode>
                <c:ptCount val="10"/>
                <c:pt idx="0">
                  <c:v>9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8</c:v>
                </c:pt>
                <c:pt idx="5">
                  <c:v>6</c:v>
                </c:pt>
                <c:pt idx="6">
                  <c:v>1</c:v>
                </c:pt>
                <c:pt idx="7">
                  <c:v>8</c:v>
                </c:pt>
                <c:pt idx="8">
                  <c:v>7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8B-463C-B1FD-C5CB2504CE1F}"/>
            </c:ext>
          </c:extLst>
        </c:ser>
        <c:ser>
          <c:idx val="4"/>
          <c:order val="4"/>
          <c:tx>
            <c:strRef>
              <c:f>'Albo D''Oro'!$A$18</c:f>
              <c:strCache>
                <c:ptCount val="1"/>
                <c:pt idx="0">
                  <c:v>MANZOTEAM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'Albo D''Oro'!$B$13:$K$13</c:f>
              <c:strCache>
                <c:ptCount val="10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  <c:pt idx="9">
                  <c:v>2025-2026</c:v>
                </c:pt>
              </c:strCache>
            </c:strRef>
          </c:cat>
          <c:val>
            <c:numRef>
              <c:f>'Albo D''Oro'!$B$18:$K$18</c:f>
              <c:numCache>
                <c:formatCode>General</c:formatCode>
                <c:ptCount val="10"/>
                <c:pt idx="0">
                  <c:v>8</c:v>
                </c:pt>
                <c:pt idx="1">
                  <c:v>4</c:v>
                </c:pt>
                <c:pt idx="2">
                  <c:v>2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8B-463C-B1FD-C5CB2504CE1F}"/>
            </c:ext>
          </c:extLst>
        </c:ser>
        <c:ser>
          <c:idx val="5"/>
          <c:order val="5"/>
          <c:tx>
            <c:strRef>
              <c:f>'Albo D''Oro'!$A$19</c:f>
              <c:strCache>
                <c:ptCount val="1"/>
                <c:pt idx="0">
                  <c:v>MOJITO FC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'Albo D''Oro'!$B$13:$K$13</c:f>
              <c:strCache>
                <c:ptCount val="10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  <c:pt idx="9">
                  <c:v>2025-2026</c:v>
                </c:pt>
              </c:strCache>
            </c:strRef>
          </c:cat>
          <c:val>
            <c:numRef>
              <c:f>'Albo D''Oro'!$B$19:$K$19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8B-463C-B1FD-C5CB2504CE1F}"/>
            </c:ext>
          </c:extLst>
        </c:ser>
        <c:ser>
          <c:idx val="6"/>
          <c:order val="6"/>
          <c:tx>
            <c:strRef>
              <c:f>'Albo D''Oro'!$A$20</c:f>
              <c:strCache>
                <c:ptCount val="1"/>
                <c:pt idx="0">
                  <c:v>RCD SUERTE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'Albo D''Oro'!$B$13:$K$13</c:f>
              <c:strCache>
                <c:ptCount val="10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  <c:pt idx="9">
                  <c:v>2025-2026</c:v>
                </c:pt>
              </c:strCache>
            </c:strRef>
          </c:cat>
          <c:val>
            <c:numRef>
              <c:f>'Albo D''Oro'!$B$20:$K$20</c:f>
              <c:numCache>
                <c:formatCode>General</c:formatCode>
                <c:ptCount val="10"/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10</c:v>
                </c:pt>
                <c:pt idx="7">
                  <c:v>7</c:v>
                </c:pt>
                <c:pt idx="8">
                  <c:v>8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8B-463C-B1FD-C5CB2504CE1F}"/>
            </c:ext>
          </c:extLst>
        </c:ser>
        <c:ser>
          <c:idx val="7"/>
          <c:order val="7"/>
          <c:tx>
            <c:strRef>
              <c:f>'Albo D''Oro'!$A$21</c:f>
              <c:strCache>
                <c:ptCount val="1"/>
                <c:pt idx="0">
                  <c:v>PATATINAIKOS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'Albo D''Oro'!$B$13:$K$13</c:f>
              <c:strCache>
                <c:ptCount val="10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  <c:pt idx="9">
                  <c:v>2025-2026</c:v>
                </c:pt>
              </c:strCache>
            </c:strRef>
          </c:cat>
          <c:val>
            <c:numRef>
              <c:f>'Albo D''Oro'!$B$21:$K$21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10</c:v>
                </c:pt>
                <c:pt idx="3">
                  <c:v>1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8B-463C-B1FD-C5CB2504CE1F}"/>
            </c:ext>
          </c:extLst>
        </c:ser>
        <c:ser>
          <c:idx val="8"/>
          <c:order val="8"/>
          <c:tx>
            <c:strRef>
              <c:f>'Albo D''Oro'!$A$22</c:f>
              <c:strCache>
                <c:ptCount val="1"/>
                <c:pt idx="0">
                  <c:v>SAMPMANIA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'Albo D''Oro'!$B$13:$K$13</c:f>
              <c:strCache>
                <c:ptCount val="10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  <c:pt idx="9">
                  <c:v>2025-2026</c:v>
                </c:pt>
              </c:strCache>
            </c:strRef>
          </c:cat>
          <c:val>
            <c:numRef>
              <c:f>'Albo D''Oro'!$B$22:$K$22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7</c:v>
                </c:pt>
                <c:pt idx="5">
                  <c:v>5</c:v>
                </c:pt>
                <c:pt idx="6">
                  <c:v>6</c:v>
                </c:pt>
                <c:pt idx="7">
                  <c:v>9</c:v>
                </c:pt>
                <c:pt idx="8">
                  <c:v>3</c:v>
                </c:pt>
                <c:pt idx="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8B-463C-B1FD-C5CB2504CE1F}"/>
            </c:ext>
          </c:extLst>
        </c:ser>
        <c:ser>
          <c:idx val="9"/>
          <c:order val="9"/>
          <c:tx>
            <c:strRef>
              <c:f>'Albo D''Oro'!$A$23</c:f>
              <c:strCache>
                <c:ptCount val="1"/>
                <c:pt idx="0">
                  <c:v>SPACCA CFC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'Albo D''Oro'!$B$13:$K$13</c:f>
              <c:strCache>
                <c:ptCount val="10"/>
                <c:pt idx="0">
                  <c:v>2016-2017</c:v>
                </c:pt>
                <c:pt idx="1">
                  <c:v>2017-2018</c:v>
                </c:pt>
                <c:pt idx="2">
                  <c:v>2018-2019</c:v>
                </c:pt>
                <c:pt idx="3">
                  <c:v>2019-2020</c:v>
                </c:pt>
                <c:pt idx="4">
                  <c:v>2020-2021</c:v>
                </c:pt>
                <c:pt idx="5">
                  <c:v>2021-2022</c:v>
                </c:pt>
                <c:pt idx="6">
                  <c:v>2022-2023</c:v>
                </c:pt>
                <c:pt idx="7">
                  <c:v>2023-2024</c:v>
                </c:pt>
                <c:pt idx="8">
                  <c:v>2024-2025</c:v>
                </c:pt>
                <c:pt idx="9">
                  <c:v>2025-2026</c:v>
                </c:pt>
              </c:strCache>
            </c:strRef>
          </c:cat>
          <c:val>
            <c:numRef>
              <c:f>'Albo D''Oro'!$B$23:$K$23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10</c:v>
                </c:pt>
                <c:pt idx="5">
                  <c:v>10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8B-463C-B1FD-C5CB2504C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901439"/>
        <c:axId val="1631286511"/>
      </c:lineChart>
      <c:catAx>
        <c:axId val="1774901439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86511"/>
        <c:crosses val="autoZero"/>
        <c:auto val="1"/>
        <c:lblAlgn val="ctr"/>
        <c:lblOffset val="100"/>
        <c:noMultiLvlLbl val="0"/>
      </c:catAx>
      <c:valAx>
        <c:axId val="1631286511"/>
        <c:scaling>
          <c:orientation val="maxMin"/>
          <c:max val="10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90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45</xdr:row>
      <xdr:rowOff>1</xdr:rowOff>
    </xdr:from>
    <xdr:to>
      <xdr:col>10</xdr:col>
      <xdr:colOff>0</xdr:colOff>
      <xdr:row>66</xdr:row>
      <xdr:rowOff>8660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060AD84-6540-4959-8F19-383032953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8658</xdr:colOff>
      <xdr:row>45</xdr:row>
      <xdr:rowOff>0</xdr:rowOff>
    </xdr:from>
    <xdr:to>
      <xdr:col>20</xdr:col>
      <xdr:colOff>658090</xdr:colOff>
      <xdr:row>66</xdr:row>
      <xdr:rowOff>17318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E87F283-3BC7-43DF-942C-9C3EFCEE8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2</xdr:row>
      <xdr:rowOff>38100</xdr:rowOff>
    </xdr:from>
    <xdr:to>
      <xdr:col>22</xdr:col>
      <xdr:colOff>7620</xdr:colOff>
      <xdr:row>30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</xdr:colOff>
      <xdr:row>63</xdr:row>
      <xdr:rowOff>0</xdr:rowOff>
    </xdr:from>
    <xdr:to>
      <xdr:col>22</xdr:col>
      <xdr:colOff>0</xdr:colOff>
      <xdr:row>91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32</xdr:row>
      <xdr:rowOff>0</xdr:rowOff>
    </xdr:from>
    <xdr:to>
      <xdr:col>21</xdr:col>
      <xdr:colOff>666750</xdr:colOff>
      <xdr:row>61</xdr:row>
      <xdr:rowOff>85725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D17DC0D-0E00-4D89-A790-AF35C5551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291812</xdr:colOff>
      <xdr:row>26</xdr:row>
      <xdr:rowOff>83236</xdr:rowOff>
    </xdr:from>
    <xdr:to>
      <xdr:col>21</xdr:col>
      <xdr:colOff>594880</xdr:colOff>
      <xdr:row>28</xdr:row>
      <xdr:rowOff>142009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1991A1D5-A6F6-4E14-838A-B1F2105FE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3487" y="4788586"/>
          <a:ext cx="2360468" cy="420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345282</xdr:colOff>
      <xdr:row>39</xdr:row>
      <xdr:rowOff>132556</xdr:rowOff>
    </xdr:from>
    <xdr:to>
      <xdr:col>20</xdr:col>
      <xdr:colOff>381000</xdr:colOff>
      <xdr:row>63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563556</xdr:colOff>
      <xdr:row>43</xdr:row>
      <xdr:rowOff>55559</xdr:rowOff>
    </xdr:from>
    <xdr:ext cx="1214563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63556" y="7564434"/>
          <a:ext cx="121456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t-IT" sz="1600" b="1"/>
            <a:t>SPACCA</a:t>
          </a:r>
          <a:r>
            <a:rPr lang="it-IT" sz="1600" b="1" baseline="0"/>
            <a:t> CFC</a:t>
          </a:r>
          <a:endParaRPr lang="it-IT" sz="1600" b="1"/>
        </a:p>
      </xdr:txBody>
    </xdr:sp>
    <xdr:clientData/>
  </xdr:oneCellAnchor>
  <xdr:oneCellAnchor>
    <xdr:from>
      <xdr:col>0</xdr:col>
      <xdr:colOff>565137</xdr:colOff>
      <xdr:row>45</xdr:row>
      <xdr:rowOff>9527</xdr:rowOff>
    </xdr:from>
    <xdr:ext cx="1571625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65137" y="7867652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SAMPMANIA</a:t>
          </a:r>
        </a:p>
      </xdr:txBody>
    </xdr:sp>
    <xdr:clientData/>
  </xdr:oneCellAnchor>
  <xdr:oneCellAnchor>
    <xdr:from>
      <xdr:col>0</xdr:col>
      <xdr:colOff>566717</xdr:colOff>
      <xdr:row>46</xdr:row>
      <xdr:rowOff>138120</xdr:rowOff>
    </xdr:from>
    <xdr:ext cx="1571625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566717" y="8170870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PATATINAIKOS</a:t>
          </a:r>
        </a:p>
      </xdr:txBody>
    </xdr:sp>
    <xdr:clientData/>
  </xdr:oneCellAnchor>
  <xdr:oneCellAnchor>
    <xdr:from>
      <xdr:col>0</xdr:col>
      <xdr:colOff>560360</xdr:colOff>
      <xdr:row>48</xdr:row>
      <xdr:rowOff>92089</xdr:rowOff>
    </xdr:from>
    <xdr:ext cx="1571625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560360" y="8474089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RCD</a:t>
          </a:r>
          <a:r>
            <a:rPr lang="it-IT" sz="1600" b="1" baseline="0"/>
            <a:t> SUERTE</a:t>
          </a:r>
          <a:endParaRPr lang="it-IT" sz="1600" b="1"/>
        </a:p>
      </xdr:txBody>
    </xdr:sp>
    <xdr:clientData/>
  </xdr:oneCellAnchor>
  <xdr:oneCellAnchor>
    <xdr:from>
      <xdr:col>0</xdr:col>
      <xdr:colOff>554005</xdr:colOff>
      <xdr:row>50</xdr:row>
      <xdr:rowOff>53998</xdr:rowOff>
    </xdr:from>
    <xdr:ext cx="1571625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554005" y="8785248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MOJITO</a:t>
          </a:r>
          <a:r>
            <a:rPr lang="it-IT" sz="1600" b="1" baseline="0"/>
            <a:t> FC</a:t>
          </a:r>
          <a:endParaRPr lang="it-IT" sz="1600" b="1"/>
        </a:p>
      </xdr:txBody>
    </xdr:sp>
    <xdr:clientData/>
  </xdr:oneCellAnchor>
  <xdr:oneCellAnchor>
    <xdr:from>
      <xdr:col>0</xdr:col>
      <xdr:colOff>555586</xdr:colOff>
      <xdr:row>52</xdr:row>
      <xdr:rowOff>15908</xdr:rowOff>
    </xdr:from>
    <xdr:ext cx="1571625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555586" y="9096408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MANZOTEAM</a:t>
          </a:r>
        </a:p>
      </xdr:txBody>
    </xdr:sp>
    <xdr:clientData/>
  </xdr:oneCellAnchor>
  <xdr:oneCellAnchor>
    <xdr:from>
      <xdr:col>0</xdr:col>
      <xdr:colOff>565110</xdr:colOff>
      <xdr:row>53</xdr:row>
      <xdr:rowOff>144502</xdr:rowOff>
    </xdr:from>
    <xdr:ext cx="1571625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565110" y="9399627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MAMBO</a:t>
          </a:r>
          <a:r>
            <a:rPr lang="it-IT" sz="1600" b="1" baseline="0"/>
            <a:t> FC</a:t>
          </a:r>
          <a:endParaRPr lang="it-IT" sz="1600" b="1"/>
        </a:p>
      </xdr:txBody>
    </xdr:sp>
    <xdr:clientData/>
  </xdr:oneCellAnchor>
  <xdr:oneCellAnchor>
    <xdr:from>
      <xdr:col>0</xdr:col>
      <xdr:colOff>566693</xdr:colOff>
      <xdr:row>55</xdr:row>
      <xdr:rowOff>106408</xdr:rowOff>
    </xdr:from>
    <xdr:ext cx="2679742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566693" y="9710783"/>
          <a:ext cx="267974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 baseline="0"/>
            <a:t>TROFIE 'NFOIATE</a:t>
          </a:r>
          <a:endParaRPr lang="it-IT" sz="1600" b="1"/>
        </a:p>
      </xdr:txBody>
    </xdr:sp>
    <xdr:clientData/>
  </xdr:oneCellAnchor>
  <xdr:oneCellAnchor>
    <xdr:from>
      <xdr:col>0</xdr:col>
      <xdr:colOff>563563</xdr:colOff>
      <xdr:row>57</xdr:row>
      <xdr:rowOff>71440</xdr:rowOff>
    </xdr:from>
    <xdr:ext cx="1571625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563563" y="10025065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DELU</a:t>
          </a:r>
          <a:r>
            <a:rPr lang="it-IT" sz="1600" b="1" baseline="0"/>
            <a:t> TEAM</a:t>
          </a:r>
          <a:endParaRPr lang="it-IT" sz="1600" b="1"/>
        </a:p>
      </xdr:txBody>
    </xdr:sp>
    <xdr:clientData/>
  </xdr:oneCellAnchor>
  <xdr:oneCellAnchor>
    <xdr:from>
      <xdr:col>0</xdr:col>
      <xdr:colOff>565146</xdr:colOff>
      <xdr:row>59</xdr:row>
      <xdr:rowOff>17470</xdr:rowOff>
    </xdr:from>
    <xdr:ext cx="1571625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565146" y="10320345"/>
          <a:ext cx="15716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600" b="1"/>
            <a:t>STRAW</a:t>
          </a:r>
          <a:r>
            <a:rPr lang="it-IT" sz="1600" b="1" baseline="0"/>
            <a:t> DOGS</a:t>
          </a:r>
          <a:endParaRPr lang="it-IT" sz="1600" b="1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41</xdr:col>
      <xdr:colOff>43295</xdr:colOff>
      <xdr:row>29</xdr:row>
      <xdr:rowOff>85177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793DB74D-7DCC-4FF2-8305-9F958A334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48841"/>
          <a:ext cx="15742227" cy="2630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8660</xdr:colOff>
      <xdr:row>43</xdr:row>
      <xdr:rowOff>0</xdr:rowOff>
    </xdr:from>
    <xdr:to>
      <xdr:col>24</xdr:col>
      <xdr:colOff>497416</xdr:colOff>
      <xdr:row>76</xdr:row>
      <xdr:rowOff>74083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17317</xdr:colOff>
      <xdr:row>80</xdr:row>
      <xdr:rowOff>158750</xdr:rowOff>
    </xdr:from>
    <xdr:to>
      <xdr:col>24</xdr:col>
      <xdr:colOff>455083</xdr:colOff>
      <xdr:row>109</xdr:row>
      <xdr:rowOff>29977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3E2F5DC-4E7E-4A48-AFE5-DCE747D34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25978</xdr:colOff>
      <xdr:row>111</xdr:row>
      <xdr:rowOff>18183</xdr:rowOff>
    </xdr:from>
    <xdr:to>
      <xdr:col>25</xdr:col>
      <xdr:colOff>52917</xdr:colOff>
      <xdr:row>141</xdr:row>
      <xdr:rowOff>116416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4B8AF4BC-A1FE-424D-8A17-80928BFBA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8658</xdr:colOff>
      <xdr:row>25</xdr:row>
      <xdr:rowOff>8659</xdr:rowOff>
    </xdr:from>
    <xdr:to>
      <xdr:col>9</xdr:col>
      <xdr:colOff>736023</xdr:colOff>
      <xdr:row>41</xdr:row>
      <xdr:rowOff>173182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FE96D01-A87E-466D-B0C7-9C520C3C2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Giori" refreshedDate="46168.490361226854" createdVersion="6" refreshedVersion="6" minRefreshableVersion="3" recordCount="36" xr:uid="{995861FA-9589-42E7-AB84-8C6F59F9769D}">
  <cacheSource type="worksheet">
    <worksheetSource ref="A2:K38" sheet="Tutti vs Tutti e Punti contro"/>
  </cacheSource>
  <cacheFields count="11">
    <cacheField name="Giornata" numFmtId="0">
      <sharedItems containsSemiMixedTypes="0" containsString="0" containsNumber="1" containsInteger="1" minValue="1" maxValue="36"/>
    </cacheField>
    <cacheField name="Strawdogs" numFmtId="0">
      <sharedItems containsString="0" containsBlank="1" containsNumber="1" containsInteger="1" minValue="0" maxValue="25"/>
    </cacheField>
    <cacheField name="Delu Team" numFmtId="0">
      <sharedItems containsString="0" containsBlank="1" containsNumber="1" containsInteger="1" minValue="0" maxValue="27"/>
    </cacheField>
    <cacheField name="Trofie 'nfoiate" numFmtId="0">
      <sharedItems containsString="0" containsBlank="1" containsNumber="1" containsInteger="1" minValue="0" maxValue="27"/>
    </cacheField>
    <cacheField name="Mambo FC" numFmtId="0">
      <sharedItems containsString="0" containsBlank="1" containsNumber="1" containsInteger="1" minValue="0" maxValue="27"/>
    </cacheField>
    <cacheField name="Manzoteam" numFmtId="0">
      <sharedItems containsString="0" containsBlank="1" containsNumber="1" containsInteger="1" minValue="1" maxValue="27"/>
    </cacheField>
    <cacheField name="Mojito FC" numFmtId="0">
      <sharedItems containsString="0" containsBlank="1" containsNumber="1" containsInteger="1" minValue="1" maxValue="25"/>
    </cacheField>
    <cacheField name="RCD Suerte" numFmtId="0">
      <sharedItems containsString="0" containsBlank="1" containsNumber="1" containsInteger="1" minValue="0" maxValue="27"/>
    </cacheField>
    <cacheField name="Patatinaikos" numFmtId="0">
      <sharedItems containsString="0" containsBlank="1" containsNumber="1" containsInteger="1" minValue="0" maxValue="27"/>
    </cacheField>
    <cacheField name="Sampmania" numFmtId="0">
      <sharedItems containsString="0" containsBlank="1" containsNumber="1" containsInteger="1" minValue="0" maxValue="27"/>
    </cacheField>
    <cacheField name="Spacca CFC" numFmtId="0">
      <sharedItems containsString="0" containsBlank="1" containsNumber="1" containsInteger="1" minValue="1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Giori" refreshedDate="46168.491208564817" createdVersion="6" refreshedVersion="6" minRefreshableVersion="3" recordCount="36" xr:uid="{8CDE8541-A677-4B41-AF01-79F03F9BB48B}">
  <cacheSource type="worksheet">
    <worksheetSource ref="N2:X38" sheet="Tutti vs Tutti e Punti contro"/>
  </cacheSource>
  <cacheFields count="11">
    <cacheField name="Giornata" numFmtId="0">
      <sharedItems containsSemiMixedTypes="0" containsString="0" containsNumber="1" containsInteger="1" minValue="1" maxValue="36"/>
    </cacheField>
    <cacheField name="Strawdogs" numFmtId="0">
      <sharedItems containsString="0" containsBlank="1" containsNumber="1" minValue="61.5" maxValue="82.5"/>
    </cacheField>
    <cacheField name="Delu Team" numFmtId="0">
      <sharedItems containsString="0" containsBlank="1" containsNumber="1" minValue="53.5" maxValue="88"/>
    </cacheField>
    <cacheField name="Trofie 'nfoiate" numFmtId="0">
      <sharedItems containsString="0" containsBlank="1" containsNumber="1" minValue="61.5" maxValue="89"/>
    </cacheField>
    <cacheField name="Mambo FC" numFmtId="0">
      <sharedItems containsString="0" containsBlank="1" containsNumber="1" minValue="60.5" maxValue="88"/>
    </cacheField>
    <cacheField name="Manzoteam" numFmtId="0">
      <sharedItems containsString="0" containsBlank="1" containsNumber="1" minValue="60" maxValue="91.5"/>
    </cacheField>
    <cacheField name="Mojito FC" numFmtId="0">
      <sharedItems containsString="0" containsBlank="1" containsNumber="1" minValue="57" maxValue="91"/>
    </cacheField>
    <cacheField name="RCD Suerte" numFmtId="0">
      <sharedItems containsString="0" containsBlank="1" containsNumber="1" minValue="65" maxValue="85.5"/>
    </cacheField>
    <cacheField name="Patatinaikos" numFmtId="0">
      <sharedItems containsString="0" containsBlank="1" containsNumber="1" minValue="65.5" maxValue="88.5"/>
    </cacheField>
    <cacheField name="Sampmania" numFmtId="0">
      <sharedItems containsString="0" containsBlank="1" containsNumber="1" minValue="60" maxValue="87"/>
    </cacheField>
    <cacheField name="Spacca CFC" numFmtId="0">
      <sharedItems containsString="0" containsBlank="1" containsNumber="1" minValue="62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n v="22"/>
    <n v="8"/>
    <n v="8"/>
    <n v="22"/>
    <n v="8"/>
    <n v="16"/>
    <n v="1"/>
    <n v="1"/>
    <n v="27"/>
    <n v="16"/>
  </r>
  <r>
    <n v="2"/>
    <n v="15"/>
    <n v="3"/>
    <n v="27"/>
    <n v="15"/>
    <n v="15"/>
    <n v="3"/>
    <n v="15"/>
    <n v="3"/>
    <n v="24"/>
    <n v="3"/>
  </r>
  <r>
    <n v="3"/>
    <n v="4"/>
    <n v="19"/>
    <n v="25"/>
    <n v="4"/>
    <n v="25"/>
    <n v="4"/>
    <n v="4"/>
    <n v="4"/>
    <n v="0"/>
    <n v="19"/>
  </r>
  <r>
    <n v="4"/>
    <n v="14"/>
    <n v="3"/>
    <n v="23"/>
    <n v="14"/>
    <n v="3"/>
    <n v="3"/>
    <n v="23"/>
    <n v="3"/>
    <n v="14"/>
    <n v="23"/>
  </r>
  <r>
    <n v="5"/>
    <n v="2"/>
    <n v="11"/>
    <n v="11"/>
    <n v="19"/>
    <n v="25"/>
    <n v="19"/>
    <n v="25"/>
    <n v="2"/>
    <n v="11"/>
    <n v="2"/>
  </r>
  <r>
    <n v="6"/>
    <n v="24"/>
    <n v="19"/>
    <n v="19"/>
    <n v="9"/>
    <n v="1"/>
    <n v="9"/>
    <n v="27"/>
    <n v="9"/>
    <n v="1"/>
    <n v="9"/>
  </r>
  <r>
    <n v="7"/>
    <n v="3"/>
    <n v="18"/>
    <n v="27"/>
    <n v="18"/>
    <n v="3"/>
    <n v="3"/>
    <n v="0"/>
    <n v="3"/>
    <n v="18"/>
    <n v="3"/>
  </r>
  <r>
    <n v="8"/>
    <n v="2"/>
    <n v="10"/>
    <n v="18"/>
    <n v="18"/>
    <n v="27"/>
    <n v="18"/>
    <n v="2"/>
    <n v="2"/>
    <n v="10"/>
    <n v="18"/>
  </r>
  <r>
    <n v="9"/>
    <n v="8"/>
    <n v="22"/>
    <n v="1"/>
    <n v="8"/>
    <n v="16"/>
    <n v="8"/>
    <n v="1"/>
    <n v="16"/>
    <n v="22"/>
    <n v="27"/>
  </r>
  <r>
    <n v="10"/>
    <n v="22"/>
    <n v="22"/>
    <n v="27"/>
    <n v="2"/>
    <n v="2"/>
    <n v="2"/>
    <n v="12"/>
    <n v="12"/>
    <n v="12"/>
    <n v="12"/>
  </r>
  <r>
    <n v="11"/>
    <n v="1"/>
    <n v="25"/>
    <n v="7"/>
    <n v="14"/>
    <n v="14"/>
    <n v="7"/>
    <n v="14"/>
    <n v="14"/>
    <n v="25"/>
    <n v="1"/>
  </r>
  <r>
    <n v="12"/>
    <n v="2"/>
    <n v="11"/>
    <n v="21"/>
    <n v="2"/>
    <n v="21"/>
    <n v="11"/>
    <n v="21"/>
    <n v="21"/>
    <n v="11"/>
    <n v="2"/>
  </r>
  <r>
    <n v="13"/>
    <n v="25"/>
    <n v="2"/>
    <n v="2"/>
    <n v="21"/>
    <n v="12"/>
    <n v="25"/>
    <n v="12"/>
    <n v="2"/>
    <n v="12"/>
    <n v="12"/>
  </r>
  <r>
    <n v="14"/>
    <n v="9"/>
    <n v="9"/>
    <n v="20"/>
    <n v="3"/>
    <n v="20"/>
    <n v="9"/>
    <n v="27"/>
    <n v="0"/>
    <n v="9"/>
    <n v="20"/>
  </r>
  <r>
    <n v="15"/>
    <n v="19"/>
    <n v="24"/>
    <n v="19"/>
    <n v="7"/>
    <n v="7"/>
    <n v="7"/>
    <n v="0"/>
    <n v="7"/>
    <n v="27"/>
    <n v="7"/>
  </r>
  <r>
    <n v="16"/>
    <n v="13"/>
    <n v="2"/>
    <n v="2"/>
    <n v="25"/>
    <n v="25"/>
    <n v="2"/>
    <n v="13"/>
    <n v="13"/>
    <n v="13"/>
    <n v="13"/>
  </r>
  <r>
    <n v="17"/>
    <n v="18"/>
    <n v="27"/>
    <n v="2"/>
    <n v="2"/>
    <n v="18"/>
    <n v="18"/>
    <n v="18"/>
    <n v="10"/>
    <n v="10"/>
    <n v="2"/>
  </r>
  <r>
    <n v="18"/>
    <n v="7"/>
    <n v="20"/>
    <n v="7"/>
    <n v="7"/>
    <n v="7"/>
    <n v="7"/>
    <n v="20"/>
    <n v="0"/>
    <n v="20"/>
    <n v="27"/>
  </r>
  <r>
    <n v="19"/>
    <n v="9"/>
    <n v="0"/>
    <n v="19"/>
    <n v="19"/>
    <n v="9"/>
    <n v="9"/>
    <n v="25"/>
    <n v="9"/>
    <n v="3"/>
    <n v="25"/>
  </r>
  <r>
    <n v="20"/>
    <n v="12"/>
    <n v="12"/>
    <n v="21"/>
    <n v="2"/>
    <n v="12"/>
    <n v="25"/>
    <n v="2"/>
    <n v="25"/>
    <n v="12"/>
    <n v="2"/>
  </r>
  <r>
    <n v="21"/>
    <n v="0"/>
    <n v="12"/>
    <n v="22"/>
    <n v="4"/>
    <n v="27"/>
    <n v="12"/>
    <n v="12"/>
    <n v="22"/>
    <n v="4"/>
    <n v="12"/>
  </r>
  <r>
    <n v="22"/>
    <n v="22"/>
    <n v="2"/>
    <n v="14"/>
    <n v="14"/>
    <n v="27"/>
    <n v="2"/>
    <n v="2"/>
    <n v="22"/>
    <n v="9"/>
    <n v="14"/>
  </r>
  <r>
    <n v="23"/>
    <n v="4"/>
    <n v="4"/>
    <n v="18"/>
    <n v="18"/>
    <n v="18"/>
    <n v="4"/>
    <n v="4"/>
    <n v="27"/>
    <n v="4"/>
    <n v="18"/>
  </r>
  <r>
    <n v="24"/>
    <n v="6"/>
    <n v="24"/>
    <n v="0"/>
    <n v="17"/>
    <n v="27"/>
    <n v="17"/>
    <n v="17"/>
    <n v="6"/>
    <n v="6"/>
    <n v="6"/>
  </r>
  <r>
    <n v="25"/>
    <n v="18"/>
    <n v="18"/>
    <n v="18"/>
    <n v="0"/>
    <n v="4"/>
    <n v="10"/>
    <n v="10"/>
    <n v="27"/>
    <n v="18"/>
    <n v="4"/>
  </r>
  <r>
    <n v="26"/>
    <n v="7"/>
    <n v="1"/>
    <n v="7"/>
    <n v="27"/>
    <n v="15"/>
    <n v="15"/>
    <n v="15"/>
    <n v="1"/>
    <n v="24"/>
    <n v="15"/>
  </r>
  <r>
    <n v="27"/>
    <n v="10"/>
    <n v="23"/>
    <n v="16"/>
    <n v="2"/>
    <n v="2"/>
    <n v="23"/>
    <n v="23"/>
    <n v="10"/>
    <n v="2"/>
    <n v="16"/>
  </r>
  <r>
    <n v="28"/>
    <n v="4"/>
    <n v="27"/>
    <n v="4"/>
    <n v="4"/>
    <n v="22"/>
    <n v="4"/>
    <n v="16"/>
    <n v="22"/>
    <n v="16"/>
    <n v="4"/>
  </r>
  <r>
    <n v="29"/>
    <n v="4"/>
    <n v="21"/>
    <n v="12"/>
    <n v="12"/>
    <n v="25"/>
    <n v="4"/>
    <n v="12"/>
    <n v="12"/>
    <n v="0"/>
    <n v="25"/>
  </r>
  <r>
    <n v="30"/>
    <n v="1"/>
    <n v="15"/>
    <n v="15"/>
    <n v="24"/>
    <n v="7"/>
    <n v="15"/>
    <n v="7"/>
    <n v="27"/>
    <n v="1"/>
    <n v="15"/>
  </r>
  <r>
    <n v="31"/>
    <n v="1"/>
    <n v="20"/>
    <n v="20"/>
    <n v="13"/>
    <n v="27"/>
    <n v="13"/>
    <n v="7"/>
    <n v="20"/>
    <n v="7"/>
    <n v="1"/>
  </r>
  <r>
    <n v="32"/>
    <n v="9"/>
    <n v="9"/>
    <n v="19"/>
    <n v="1"/>
    <n v="24"/>
    <n v="1"/>
    <n v="27"/>
    <n v="9"/>
    <n v="9"/>
    <n v="19"/>
  </r>
  <r>
    <n v="33"/>
    <n v="5"/>
    <n v="14"/>
    <n v="14"/>
    <n v="5"/>
    <n v="23"/>
    <n v="5"/>
    <n v="23"/>
    <n v="23"/>
    <n v="0"/>
    <n v="14"/>
  </r>
  <r>
    <n v="34"/>
    <n v="11"/>
    <n v="25"/>
    <n v="25"/>
    <n v="2"/>
    <n v="11"/>
    <n v="11"/>
    <n v="2"/>
    <n v="2"/>
    <n v="19"/>
    <n v="19"/>
  </r>
  <r>
    <n v="35"/>
    <n v="23"/>
    <n v="10"/>
    <n v="2"/>
    <n v="2"/>
    <n v="23"/>
    <n v="2"/>
    <n v="10"/>
    <n v="23"/>
    <n v="16"/>
    <n v="16"/>
  </r>
  <r>
    <n v="36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n v="62"/>
    <n v="69.5"/>
    <n v="68"/>
    <n v="61"/>
    <n v="78.5"/>
    <n v="91"/>
    <n v="80"/>
    <n v="81.5"/>
    <n v="76.5"/>
    <n v="68.5"/>
  </r>
  <r>
    <n v="2"/>
    <n v="73.5"/>
    <n v="72.5"/>
    <n v="75"/>
    <n v="81"/>
    <n v="70"/>
    <n v="75"/>
    <n v="85.5"/>
    <n v="70.5"/>
    <n v="72.5"/>
    <n v="68"/>
  </r>
  <r>
    <n v="3"/>
    <n v="79.5"/>
    <n v="69"/>
    <n v="62"/>
    <n v="79"/>
    <n v="72.5"/>
    <n v="67"/>
    <n v="76"/>
    <n v="73"/>
    <n v="83"/>
    <n v="67.5"/>
  </r>
  <r>
    <n v="4"/>
    <n v="64"/>
    <n v="77.5"/>
    <n v="66"/>
    <n v="67"/>
    <n v="73.5"/>
    <n v="73.5"/>
    <n v="70.5"/>
    <n v="70.5"/>
    <n v="72.5"/>
    <n v="64.5"/>
  </r>
  <r>
    <n v="5"/>
    <n v="76"/>
    <n v="73.5"/>
    <n v="62.5"/>
    <n v="65.5"/>
    <n v="85"/>
    <n v="65"/>
    <n v="82"/>
    <n v="71"/>
    <n v="69.5"/>
    <n v="78.5"/>
  </r>
  <r>
    <n v="6"/>
    <n v="72.5"/>
    <n v="69.5"/>
    <n v="78.5"/>
    <n v="71.5"/>
    <n v="63"/>
    <n v="75"/>
    <n v="68"/>
    <n v="88.5"/>
    <n v="67.5"/>
    <n v="67"/>
  </r>
  <r>
    <n v="7"/>
    <n v="63.5"/>
    <n v="68.5"/>
    <n v="68"/>
    <n v="73"/>
    <n v="74.5"/>
    <n v="77"/>
    <n v="68"/>
    <n v="79"/>
    <n v="67"/>
    <n v="83"/>
  </r>
  <r>
    <n v="8"/>
    <n v="66"/>
    <n v="76.5"/>
    <n v="75.5"/>
    <n v="71"/>
    <n v="67.5"/>
    <n v="72.5"/>
    <n v="75.5"/>
    <n v="79"/>
    <n v="60"/>
    <n v="63"/>
  </r>
  <r>
    <n v="9"/>
    <n v="76"/>
    <n v="75"/>
    <n v="67"/>
    <n v="66"/>
    <n v="71.5"/>
    <n v="62.5"/>
    <n v="71.5"/>
    <n v="82"/>
    <n v="85.5"/>
    <n v="84.5"/>
  </r>
  <r>
    <n v="10"/>
    <n v="74"/>
    <n v="87"/>
    <n v="82"/>
    <n v="74.5"/>
    <n v="75"/>
    <n v="75.5"/>
    <n v="65"/>
    <n v="81"/>
    <n v="65"/>
    <n v="65.5"/>
  </r>
  <r>
    <n v="11"/>
    <n v="78.5"/>
    <n v="59"/>
    <n v="74"/>
    <n v="80.5"/>
    <n v="70"/>
    <n v="74.5"/>
    <n v="69"/>
    <n v="67.5"/>
    <n v="75"/>
    <n v="72"/>
  </r>
  <r>
    <n v="12"/>
    <n v="65"/>
    <n v="72"/>
    <n v="68"/>
    <n v="78.5"/>
    <n v="60"/>
    <n v="77"/>
    <n v="72"/>
    <n v="68"/>
    <n v="74"/>
    <n v="67.5"/>
  </r>
  <r>
    <n v="13"/>
    <n v="82.5"/>
    <n v="72.5"/>
    <n v="67.5"/>
    <n v="65"/>
    <n v="67"/>
    <n v="81"/>
    <n v="69"/>
    <n v="75"/>
    <n v="69"/>
    <n v="65"/>
  </r>
  <r>
    <n v="14"/>
    <n v="66"/>
    <n v="75"/>
    <n v="65.5"/>
    <n v="74"/>
    <n v="86"/>
    <n v="84"/>
    <n v="80"/>
    <n v="79"/>
    <n v="78.5"/>
    <n v="72"/>
  </r>
  <r>
    <n v="15"/>
    <n v="74"/>
    <n v="72"/>
    <n v="73.5"/>
    <n v="66"/>
    <n v="90.5"/>
    <n v="81"/>
    <n v="69.5"/>
    <n v="65.5"/>
    <n v="68"/>
    <n v="71"/>
  </r>
  <r>
    <n v="16"/>
    <n v="77.5"/>
    <n v="81.5"/>
    <n v="77.5"/>
    <n v="68.5"/>
    <n v="71"/>
    <n v="80"/>
    <n v="77.5"/>
    <n v="72.5"/>
    <n v="77.5"/>
    <n v="71"/>
  </r>
  <r>
    <n v="17"/>
    <n v="74.5"/>
    <n v="69.5"/>
    <n v="78.5"/>
    <n v="86.5"/>
    <n v="74.5"/>
    <n v="68.5"/>
    <n v="69"/>
    <n v="80.5"/>
    <n v="81.5"/>
    <n v="81.5"/>
  </r>
  <r>
    <n v="18"/>
    <n v="67"/>
    <n v="67.5"/>
    <n v="71.5"/>
    <n v="68"/>
    <n v="71"/>
    <n v="72.5"/>
    <n v="70.5"/>
    <n v="72.5"/>
    <n v="81.5"/>
    <n v="76.5"/>
  </r>
  <r>
    <n v="19"/>
    <n v="73"/>
    <n v="83"/>
    <n v="65"/>
    <n v="88"/>
    <n v="90.5"/>
    <n v="66"/>
    <n v="81"/>
    <n v="78.5"/>
    <n v="76"/>
    <n v="75"/>
  </r>
  <r>
    <n v="20"/>
    <n v="77"/>
    <n v="73.5"/>
    <n v="73"/>
    <n v="75.5"/>
    <n v="91.5"/>
    <n v="74.5"/>
    <n v="79"/>
    <n v="69.5"/>
    <n v="70"/>
    <n v="94"/>
  </r>
  <r>
    <n v="21"/>
    <n v="79"/>
    <n v="78.5"/>
    <n v="66.5"/>
    <n v="86.5"/>
    <n v="73"/>
    <n v="82"/>
    <n v="75.5"/>
    <n v="76.5"/>
    <n v="83"/>
    <n v="62"/>
  </r>
  <r>
    <n v="22"/>
    <n v="62.5"/>
    <n v="72"/>
    <n v="89"/>
    <n v="80"/>
    <n v="72"/>
    <n v="83"/>
    <n v="71"/>
    <n v="72.5"/>
    <n v="61.5"/>
    <n v="62.5"/>
  </r>
  <r>
    <n v="23"/>
    <n v="75.5"/>
    <n v="68"/>
    <n v="88.5"/>
    <n v="71"/>
    <n v="68.5"/>
    <n v="76.5"/>
    <n v="76.5"/>
    <n v="76"/>
    <n v="66.5"/>
    <n v="70.5"/>
  </r>
  <r>
    <n v="24"/>
    <n v="64"/>
    <n v="76"/>
    <n v="69.5"/>
    <n v="73.5"/>
    <n v="69.5"/>
    <n v="80"/>
    <n v="70.5"/>
    <n v="76.5"/>
    <n v="87"/>
    <n v="74"/>
  </r>
  <r>
    <n v="25"/>
    <n v="77"/>
    <n v="72"/>
    <n v="67"/>
    <n v="72.5"/>
    <n v="79.5"/>
    <n v="64.5"/>
    <n v="78"/>
    <n v="80.5"/>
    <n v="84"/>
    <n v="83"/>
  </r>
  <r>
    <n v="26"/>
    <n v="79.5"/>
    <n v="88"/>
    <n v="74"/>
    <n v="60.5"/>
    <n v="67"/>
    <n v="69"/>
    <n v="74.5"/>
    <n v="74.5"/>
    <n v="72"/>
    <n v="73"/>
  </r>
  <r>
    <n v="27"/>
    <n v="67.5"/>
    <n v="71"/>
    <n v="61.5"/>
    <n v="74.5"/>
    <n v="70"/>
    <n v="83.5"/>
    <n v="80"/>
    <n v="82"/>
    <n v="76"/>
    <n v="67.5"/>
  </r>
  <r>
    <n v="28"/>
    <n v="81"/>
    <n v="68"/>
    <n v="86.5"/>
    <n v="79.5"/>
    <n v="70"/>
    <n v="77"/>
    <n v="71"/>
    <n v="71.5"/>
    <n v="69"/>
    <n v="80.5"/>
  </r>
  <r>
    <n v="29"/>
    <n v="81.5"/>
    <n v="73"/>
    <n v="74.5"/>
    <n v="61"/>
    <n v="68"/>
    <n v="88.5"/>
    <n v="76.5"/>
    <n v="87"/>
    <n v="78.5"/>
    <n v="75.5"/>
  </r>
  <r>
    <n v="30"/>
    <n v="72.5"/>
    <n v="66"/>
    <n v="67.5"/>
    <n v="72.5"/>
    <n v="79.5"/>
    <n v="88"/>
    <n v="74.5"/>
    <n v="75"/>
    <n v="74"/>
    <n v="67.5"/>
  </r>
  <r>
    <n v="31"/>
    <n v="77"/>
    <n v="67.5"/>
    <n v="84"/>
    <n v="81"/>
    <n v="84"/>
    <n v="61.5"/>
    <n v="69"/>
    <n v="74"/>
    <n v="72"/>
    <n v="78"/>
  </r>
  <r>
    <n v="32"/>
    <n v="65"/>
    <n v="66"/>
    <n v="73"/>
    <n v="70"/>
    <n v="85"/>
    <n v="76"/>
    <n v="83.5"/>
    <n v="76.5"/>
    <n v="73"/>
    <n v="65.5"/>
  </r>
  <r>
    <n v="33"/>
    <n v="76.5"/>
    <n v="71"/>
    <n v="69"/>
    <n v="74"/>
    <n v="61"/>
    <n v="76"/>
    <n v="78.5"/>
    <n v="81"/>
    <n v="80"/>
    <n v="73.5"/>
  </r>
  <r>
    <n v="34"/>
    <n v="61.5"/>
    <n v="68"/>
    <n v="79"/>
    <n v="73"/>
    <n v="83"/>
    <n v="57"/>
    <n v="68.5"/>
    <n v="74"/>
    <n v="65.5"/>
    <n v="78.5"/>
  </r>
  <r>
    <n v="35"/>
    <n v="76"/>
    <n v="53.5"/>
    <n v="65.5"/>
    <n v="71"/>
    <n v="78"/>
    <n v="61.5"/>
    <n v="74"/>
    <n v="83.5"/>
    <n v="80"/>
    <n v="72.5"/>
  </r>
  <r>
    <n v="3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A0D2D-80E9-44DC-BAA6-444BD3A62040}" name="Tabella pivot2" cacheId="1" dataOnRows="1" applyNumberFormats="0" applyBorderFormats="0" applyFontFormats="0" applyPatternFormats="0" applyAlignmentFormats="0" applyWidthHeightFormats="1" dataCaption="Valori" updatedVersion="6" minRefreshableVersion="3" useAutoFormatting="1" itemPrintTitles="1" createdVersion="6" indent="0" showHeaders="0" outline="1" outlineData="1" multipleFieldFilters="0">
  <location ref="S43:T52" firstHeaderRow="0" firstDataRow="0" firstDataCol="1"/>
  <pivotFields count="11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dataFields count="10">
    <dataField name=" Patatinaikos" fld="8" baseField="0" baseItem="0"/>
    <dataField name=" Mojito FC" fld="6" baseField="0" baseItem="0"/>
    <dataField name=" Manzoteam" fld="5" baseField="0" baseItem="0"/>
    <dataField name=" RCD Suerte" fld="7" baseField="0" baseItem="0"/>
    <dataField name=" Sampmania" fld="9" baseField="0" baseItem="0"/>
    <dataField name=" Mambo FC" fld="4" baseField="0" baseItem="0"/>
    <dataField name=" Spacca CFC" fld="10" baseField="0" baseItem="0"/>
    <dataField name=" Strawdogs" fld="1" baseField="0" baseItem="0"/>
    <dataField name=" Trofie 'nfoiate" fld="3" baseField="0" baseItem="0"/>
    <dataField name=" Delu Team" fld="2" baseField="0" baseItem="0"/>
  </dataFields>
  <formats count="11">
    <format dxfId="20">
      <pivotArea type="all" dataOnly="0" outline="0" fieldPosition="0"/>
    </format>
    <format dxfId="19">
      <pivotArea outline="0" collapsedLevelsAreSubtotals="1" fieldPosition="0"/>
    </format>
    <format dxfId="18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7">
      <pivotArea fieldPosition="0">
        <references count="1">
          <reference field="4294967294" count="1">
            <x v="7"/>
          </reference>
        </references>
      </pivotArea>
    </format>
    <format dxfId="1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5">
      <pivotArea outline="0" collapsedLevelsAreSubtotals="1" fieldPosition="0"/>
    </format>
    <format dxfId="14">
      <pivotArea fieldPosition="0">
        <references count="1">
          <reference field="4294967294" count="1">
            <x v="7"/>
          </reference>
        </references>
      </pivotArea>
    </format>
    <format dxfId="13">
      <pivotArea outline="0" collapsedLevelsAreSubtotals="1" fieldPosition="0"/>
    </format>
    <format dxfId="12">
      <pivotArea fieldPosition="0">
        <references count="1">
          <reference field="4294967294" count="1">
            <x v="7"/>
          </reference>
        </references>
      </pivotArea>
    </format>
    <format dxfId="11">
      <pivotArea outline="0" collapsedLevelsAreSubtotals="1" fieldPosition="0"/>
    </format>
    <format dxfId="10">
      <pivotArea fieldPosition="0">
        <references count="1">
          <reference field="4294967294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55B87-2688-406D-87ED-D8FEAE6B386F}" name="Tabella pivot1" cacheId="0" dataOnRows="1" applyNumberFormats="0" applyBorderFormats="0" applyFontFormats="0" applyPatternFormats="0" applyAlignmentFormats="0" applyWidthHeightFormats="1" dataCaption="Valori" updatedVersion="6" minRefreshableVersion="3" useAutoFormatting="1" itemPrintTitles="1" createdVersion="6" indent="0" showHeaders="0" outline="1" outlineData="1" multipleFieldFilters="0">
  <location ref="F43:G52" firstHeaderRow="0" firstDataRow="0" firstDataCol="1"/>
  <pivotFields count="11"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dataFields count="10">
    <dataField name=" Manzoteam" fld="5" baseField="0" baseItem="0"/>
    <dataField name=" Trofie 'nfoiate" fld="3" baseField="0" baseItem="0"/>
    <dataField name=" Delu Team" fld="2" baseField="0" baseItem="0"/>
    <dataField name=" RCD Suerte" fld="7" baseField="0" baseItem="0"/>
    <dataField name=" Spacca CFC" fld="10" baseField="0" baseItem="0"/>
    <dataField name=" Sampmania" fld="9" baseField="0" baseItem="0"/>
    <dataField name=" Patatinaikos" fld="8" baseField="0" baseItem="0"/>
    <dataField name=" Mambo FC" fld="4" baseField="0" baseItem="0"/>
    <dataField name=" Strawdogs" fld="1" baseField="0" baseItem="0"/>
    <dataField name=" Mojito FC" fld="6" baseField="0" baseItem="0"/>
  </dataFields>
  <formats count="11"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8">
      <pivotArea fieldPosition="0">
        <references count="1">
          <reference field="4294967294" count="1">
            <x v="8"/>
          </reference>
        </references>
      </pivotArea>
    </format>
    <format dxfId="2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6">
      <pivotArea outline="0" collapsedLevelsAreSubtotals="1" fieldPosition="0"/>
    </format>
    <format dxfId="25">
      <pivotArea fieldPosition="0">
        <references count="1">
          <reference field="4294967294" count="1">
            <x v="8"/>
          </reference>
        </references>
      </pivotArea>
    </format>
    <format dxfId="24">
      <pivotArea outline="0" collapsedLevelsAreSubtotals="1" fieldPosition="0"/>
    </format>
    <format dxfId="23">
      <pivotArea fieldPosition="0">
        <references count="1">
          <reference field="4294967294" count="1">
            <x v="8"/>
          </reference>
        </references>
      </pivotArea>
    </format>
    <format dxfId="22">
      <pivotArea outline="0" collapsedLevelsAreSubtotals="1" fieldPosition="0"/>
    </format>
    <format dxfId="21">
      <pivotArea fieldPosition="0">
        <references count="1">
          <reference field="4294967294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83"/>
  <sheetViews>
    <sheetView zoomScale="90" zoomScaleNormal="90" workbookViewId="0">
      <pane ySplit="2" topLeftCell="A3" activePane="bottomLeft" state="frozen"/>
      <selection pane="bottomLeft" activeCell="G2" sqref="G2:I2"/>
    </sheetView>
  </sheetViews>
  <sheetFormatPr defaultRowHeight="14.25" x14ac:dyDescent="0.2"/>
  <cols>
    <col min="1" max="1" width="13.625" bestFit="1" customWidth="1"/>
    <col min="2" max="2" width="5.125" bestFit="1" customWidth="1"/>
    <col min="3" max="3" width="3.625" bestFit="1" customWidth="1"/>
    <col min="4" max="4" width="12.875" customWidth="1"/>
    <col min="5" max="5" width="4.375" bestFit="1" customWidth="1"/>
    <col min="6" max="6" width="3.625" bestFit="1" customWidth="1"/>
    <col min="7" max="7" width="14.125" customWidth="1"/>
    <col min="8" max="8" width="4.375" bestFit="1" customWidth="1"/>
    <col min="9" max="9" width="3.625" bestFit="1" customWidth="1"/>
    <col min="10" max="10" width="15.625" customWidth="1"/>
    <col min="11" max="11" width="4.375" bestFit="1" customWidth="1"/>
    <col min="12" max="12" width="3.625" bestFit="1" customWidth="1"/>
    <col min="13" max="13" width="11.625" bestFit="1" customWidth="1"/>
    <col min="14" max="14" width="4.375" bestFit="1" customWidth="1"/>
    <col min="15" max="15" width="4.125" customWidth="1"/>
    <col min="16" max="16" width="11.625" customWidth="1"/>
    <col min="17" max="17" width="4.375" bestFit="1" customWidth="1"/>
    <col min="18" max="18" width="3.875" bestFit="1" customWidth="1"/>
    <col min="19" max="19" width="10.625" customWidth="1"/>
    <col min="20" max="20" width="4.375" bestFit="1" customWidth="1"/>
    <col min="21" max="21" width="4.125" customWidth="1"/>
    <col min="22" max="22" width="10.875" customWidth="1"/>
    <col min="23" max="23" width="4.375" bestFit="1" customWidth="1"/>
    <col min="24" max="24" width="4.125" customWidth="1"/>
    <col min="25" max="25" width="12.125" bestFit="1" customWidth="1"/>
    <col min="26" max="26" width="4.375" bestFit="1" customWidth="1"/>
    <col min="27" max="27" width="4.375" customWidth="1"/>
    <col min="28" max="28" width="12.125" bestFit="1" customWidth="1"/>
    <col min="29" max="29" width="4.375" bestFit="1" customWidth="1"/>
    <col min="30" max="30" width="5" customWidth="1"/>
    <col min="32" max="32" width="10.5" bestFit="1" customWidth="1"/>
    <col min="33" max="33" width="11.5" bestFit="1" customWidth="1"/>
    <col min="34" max="34" width="15.125" bestFit="1" customWidth="1"/>
    <col min="35" max="35" width="15.375" bestFit="1" customWidth="1"/>
    <col min="36" max="36" width="11.125" bestFit="1" customWidth="1"/>
    <col min="37" max="37" width="11.375" bestFit="1" customWidth="1"/>
    <col min="38" max="38" width="10.375" bestFit="1" customWidth="1"/>
  </cols>
  <sheetData>
    <row r="1" spans="1:46" ht="26.45" customHeight="1" thickBot="1" x14ac:dyDescent="0.4">
      <c r="A1" s="334" t="s">
        <v>17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6"/>
    </row>
    <row r="2" spans="1:46" s="3" customFormat="1" ht="13.5" thickBot="1" x14ac:dyDescent="0.25">
      <c r="A2" s="348" t="s">
        <v>6</v>
      </c>
      <c r="B2" s="349"/>
      <c r="C2" s="350"/>
      <c r="D2" s="351" t="s">
        <v>7</v>
      </c>
      <c r="E2" s="352"/>
      <c r="F2" s="353"/>
      <c r="G2" s="354" t="s">
        <v>8</v>
      </c>
      <c r="H2" s="355"/>
      <c r="I2" s="356"/>
      <c r="J2" s="357" t="s">
        <v>9</v>
      </c>
      <c r="K2" s="358"/>
      <c r="L2" s="359"/>
      <c r="M2" s="360" t="s">
        <v>10</v>
      </c>
      <c r="N2" s="361"/>
      <c r="O2" s="362"/>
      <c r="P2" s="363" t="s">
        <v>11</v>
      </c>
      <c r="Q2" s="364"/>
      <c r="R2" s="365"/>
      <c r="S2" s="366" t="s">
        <v>12</v>
      </c>
      <c r="T2" s="367"/>
      <c r="U2" s="368"/>
      <c r="V2" s="343" t="s">
        <v>14</v>
      </c>
      <c r="W2" s="344"/>
      <c r="X2" s="345"/>
      <c r="Y2" s="337" t="s">
        <v>15</v>
      </c>
      <c r="Z2" s="338"/>
      <c r="AA2" s="339"/>
      <c r="AB2" s="340" t="s">
        <v>13</v>
      </c>
      <c r="AC2" s="341"/>
      <c r="AD2" s="342"/>
    </row>
    <row r="3" spans="1:46" ht="15" thickBot="1" x14ac:dyDescent="0.25">
      <c r="A3" s="346" t="s">
        <v>0</v>
      </c>
      <c r="B3" s="332"/>
      <c r="C3" s="347"/>
      <c r="D3" s="346" t="s">
        <v>0</v>
      </c>
      <c r="E3" s="332"/>
      <c r="F3" s="347"/>
      <c r="G3" s="346" t="s">
        <v>0</v>
      </c>
      <c r="H3" s="332"/>
      <c r="I3" s="347"/>
      <c r="J3" s="346" t="s">
        <v>0</v>
      </c>
      <c r="K3" s="332"/>
      <c r="L3" s="347"/>
      <c r="M3" s="346" t="s">
        <v>0</v>
      </c>
      <c r="N3" s="332"/>
      <c r="O3" s="347"/>
      <c r="P3" s="346" t="s">
        <v>0</v>
      </c>
      <c r="Q3" s="332"/>
      <c r="R3" s="347"/>
      <c r="S3" s="331" t="s">
        <v>0</v>
      </c>
      <c r="T3" s="332"/>
      <c r="U3" s="333"/>
      <c r="V3" s="331" t="s">
        <v>0</v>
      </c>
      <c r="W3" s="332"/>
      <c r="X3" s="333"/>
      <c r="Y3" s="331" t="s">
        <v>0</v>
      </c>
      <c r="Z3" s="332"/>
      <c r="AA3" s="333"/>
      <c r="AB3" s="331" t="s">
        <v>0</v>
      </c>
      <c r="AC3" s="332"/>
      <c r="AD3" s="333"/>
    </row>
    <row r="4" spans="1:46" s="2" customFormat="1" ht="19.350000000000001" customHeight="1" thickBot="1" x14ac:dyDescent="0.3">
      <c r="A4" s="18" t="s">
        <v>51</v>
      </c>
      <c r="B4" s="35">
        <f>0.5*C4</f>
        <v>0</v>
      </c>
      <c r="C4" s="36">
        <v>0</v>
      </c>
      <c r="D4" s="18" t="s">
        <v>61</v>
      </c>
      <c r="E4" s="31">
        <f>0.5*F4</f>
        <v>6.5</v>
      </c>
      <c r="F4" s="36">
        <v>13</v>
      </c>
      <c r="G4" s="18" t="s">
        <v>158</v>
      </c>
      <c r="H4" s="31">
        <f>0.5*I4</f>
        <v>0.5</v>
      </c>
      <c r="I4" s="36">
        <v>1</v>
      </c>
      <c r="J4" s="18" t="s">
        <v>42</v>
      </c>
      <c r="K4" s="31">
        <f>0.5*L4</f>
        <v>0.5</v>
      </c>
      <c r="L4" s="36">
        <v>1</v>
      </c>
      <c r="M4" s="18" t="s">
        <v>21</v>
      </c>
      <c r="N4" s="31">
        <f>0.5*O4</f>
        <v>18.5</v>
      </c>
      <c r="O4" s="36">
        <v>37</v>
      </c>
      <c r="P4" s="18" t="s">
        <v>59</v>
      </c>
      <c r="Q4" s="31">
        <f>0.5*R4</f>
        <v>7</v>
      </c>
      <c r="R4" s="36">
        <v>14</v>
      </c>
      <c r="S4" s="18" t="s">
        <v>37</v>
      </c>
      <c r="T4" s="31">
        <f>0.5*U4</f>
        <v>1</v>
      </c>
      <c r="U4" s="36">
        <v>2</v>
      </c>
      <c r="V4" s="18" t="s">
        <v>147</v>
      </c>
      <c r="W4" s="31">
        <f>0.5*X4</f>
        <v>3.5</v>
      </c>
      <c r="X4" s="36">
        <v>7</v>
      </c>
      <c r="Y4" s="18" t="s">
        <v>48</v>
      </c>
      <c r="Z4" s="31">
        <f>0.5*AA4</f>
        <v>0.5</v>
      </c>
      <c r="AA4" s="36">
        <v>1</v>
      </c>
      <c r="AB4" s="18" t="s">
        <v>57</v>
      </c>
      <c r="AC4" s="31">
        <f>0.5*AD4</f>
        <v>7.5</v>
      </c>
      <c r="AD4" s="36">
        <v>15</v>
      </c>
      <c r="AM4" s="13"/>
      <c r="AN4" s="13"/>
      <c r="AO4" s="13"/>
      <c r="AP4" s="13"/>
      <c r="AQ4" s="13"/>
      <c r="AR4" s="13"/>
      <c r="AS4" s="13"/>
      <c r="AT4" s="13"/>
    </row>
    <row r="5" spans="1:46" s="2" customFormat="1" ht="19.350000000000001" customHeight="1" thickBot="1" x14ac:dyDescent="0.3">
      <c r="A5" s="18" t="s">
        <v>154</v>
      </c>
      <c r="B5" s="35">
        <f t="shared" ref="B5:B7" si="0">0.5*C5</f>
        <v>0</v>
      </c>
      <c r="C5" s="29">
        <v>0</v>
      </c>
      <c r="D5" s="18" t="s">
        <v>60</v>
      </c>
      <c r="E5" s="31">
        <f t="shared" ref="E5:E7" si="1">0.5*F5</f>
        <v>3.5</v>
      </c>
      <c r="F5" s="36">
        <v>7</v>
      </c>
      <c r="G5" s="18" t="s">
        <v>159</v>
      </c>
      <c r="H5" s="31">
        <f t="shared" ref="H5:H7" si="2">0.5*I5</f>
        <v>0</v>
      </c>
      <c r="I5" s="29">
        <v>0</v>
      </c>
      <c r="J5" s="18" t="s">
        <v>152</v>
      </c>
      <c r="K5" s="31">
        <f t="shared" ref="K5:K7" si="3">0.5*L5</f>
        <v>14</v>
      </c>
      <c r="L5" s="36">
        <v>28</v>
      </c>
      <c r="M5" s="18" t="s">
        <v>22</v>
      </c>
      <c r="N5" s="31">
        <f t="shared" ref="N5:N7" si="4">0.5*O5</f>
        <v>0</v>
      </c>
      <c r="O5" s="29">
        <v>0</v>
      </c>
      <c r="P5" s="18" t="s">
        <v>150</v>
      </c>
      <c r="Q5" s="31">
        <f t="shared" ref="Q5:Q7" si="5">0.5*R5</f>
        <v>0</v>
      </c>
      <c r="R5" s="29">
        <v>0</v>
      </c>
      <c r="S5" s="18" t="s">
        <v>145</v>
      </c>
      <c r="T5" s="31">
        <f t="shared" ref="T5:T7" si="6">0.5*U5</f>
        <v>0</v>
      </c>
      <c r="U5" s="29">
        <v>0</v>
      </c>
      <c r="V5" s="18" t="s">
        <v>63</v>
      </c>
      <c r="W5" s="31">
        <f t="shared" ref="W5:W7" si="7">0.5*X5</f>
        <v>0</v>
      </c>
      <c r="X5" s="29">
        <v>0</v>
      </c>
      <c r="Y5" s="18" t="s">
        <v>62</v>
      </c>
      <c r="Z5" s="31">
        <f t="shared" ref="Z5:Z7" si="8">0.5*AA5</f>
        <v>4</v>
      </c>
      <c r="AA5" s="36">
        <v>8</v>
      </c>
      <c r="AB5" s="18" t="s">
        <v>148</v>
      </c>
      <c r="AC5" s="31">
        <f t="shared" ref="AC5:AC7" si="9">0.5*AD5</f>
        <v>0</v>
      </c>
      <c r="AD5" s="29">
        <v>0</v>
      </c>
      <c r="AM5" s="13"/>
      <c r="AN5" s="13"/>
      <c r="AO5" s="13"/>
      <c r="AP5" s="13"/>
      <c r="AQ5" s="13"/>
      <c r="AR5" s="13"/>
      <c r="AS5" s="13"/>
      <c r="AT5" s="13"/>
    </row>
    <row r="6" spans="1:46" s="2" customFormat="1" ht="19.350000000000001" customHeight="1" thickBot="1" x14ac:dyDescent="0.3">
      <c r="A6" s="17" t="s">
        <v>160</v>
      </c>
      <c r="B6" s="35">
        <f t="shared" si="0"/>
        <v>0.5</v>
      </c>
      <c r="C6" s="30">
        <v>1</v>
      </c>
      <c r="D6" s="17" t="s">
        <v>155</v>
      </c>
      <c r="E6" s="31">
        <f t="shared" si="1"/>
        <v>0</v>
      </c>
      <c r="F6" s="30">
        <v>0</v>
      </c>
      <c r="G6" s="17" t="s">
        <v>64</v>
      </c>
      <c r="H6" s="31">
        <f t="shared" si="2"/>
        <v>1</v>
      </c>
      <c r="I6" s="30">
        <v>2</v>
      </c>
      <c r="J6" s="17" t="s">
        <v>153</v>
      </c>
      <c r="K6" s="31">
        <f t="shared" si="3"/>
        <v>0</v>
      </c>
      <c r="L6" s="30">
        <v>0</v>
      </c>
      <c r="M6" s="17" t="s">
        <v>23</v>
      </c>
      <c r="N6" s="31">
        <f t="shared" si="4"/>
        <v>0.5</v>
      </c>
      <c r="O6" s="30">
        <v>1</v>
      </c>
      <c r="P6" s="17" t="s">
        <v>151</v>
      </c>
      <c r="Q6" s="31">
        <f t="shared" si="5"/>
        <v>0.5</v>
      </c>
      <c r="R6" s="30">
        <v>1</v>
      </c>
      <c r="S6" s="17" t="s">
        <v>146</v>
      </c>
      <c r="T6" s="31">
        <f t="shared" si="6"/>
        <v>0.5</v>
      </c>
      <c r="U6" s="30">
        <v>1</v>
      </c>
      <c r="V6" s="17" t="s">
        <v>157</v>
      </c>
      <c r="W6" s="31">
        <f t="shared" si="7"/>
        <v>2</v>
      </c>
      <c r="X6" s="39">
        <v>4</v>
      </c>
      <c r="Y6" s="17" t="s">
        <v>156</v>
      </c>
      <c r="Z6" s="31">
        <f t="shared" si="8"/>
        <v>0</v>
      </c>
      <c r="AA6" s="30">
        <v>0</v>
      </c>
      <c r="AB6" s="17" t="s">
        <v>149</v>
      </c>
      <c r="AC6" s="31">
        <f t="shared" si="9"/>
        <v>0.5</v>
      </c>
      <c r="AD6" s="30">
        <v>1</v>
      </c>
      <c r="AM6" s="13"/>
      <c r="AN6" s="13"/>
      <c r="AO6" s="13"/>
      <c r="AP6" s="13"/>
      <c r="AQ6" s="13"/>
      <c r="AR6" s="13"/>
      <c r="AS6" s="13"/>
      <c r="AT6" s="13"/>
    </row>
    <row r="7" spans="1:46" ht="19.350000000000001" customHeight="1" thickBot="1" x14ac:dyDescent="0.25">
      <c r="A7" s="17"/>
      <c r="B7" s="35">
        <f t="shared" si="0"/>
        <v>0.5</v>
      </c>
      <c r="C7" s="17">
        <f>SUM(C4:C6)</f>
        <v>1</v>
      </c>
      <c r="D7" s="17"/>
      <c r="E7" s="31">
        <f t="shared" si="1"/>
        <v>10</v>
      </c>
      <c r="F7" s="17">
        <f>SUM(F4:F6)</f>
        <v>20</v>
      </c>
      <c r="G7" s="17"/>
      <c r="H7" s="31">
        <f t="shared" si="2"/>
        <v>1.5</v>
      </c>
      <c r="I7" s="17">
        <f>SUM(I4:I6)</f>
        <v>3</v>
      </c>
      <c r="J7" s="17"/>
      <c r="K7" s="31">
        <f t="shared" si="3"/>
        <v>14.5</v>
      </c>
      <c r="L7" s="17">
        <f>SUM(L4:L6)</f>
        <v>29</v>
      </c>
      <c r="M7" s="17"/>
      <c r="N7" s="31">
        <f t="shared" si="4"/>
        <v>19</v>
      </c>
      <c r="O7" s="17">
        <f>SUM(O4:O6)</f>
        <v>38</v>
      </c>
      <c r="P7" s="17"/>
      <c r="Q7" s="31">
        <f t="shared" si="5"/>
        <v>7.5</v>
      </c>
      <c r="R7" s="17">
        <f>SUM(R4:R6)</f>
        <v>15</v>
      </c>
      <c r="S7" s="17"/>
      <c r="T7" s="31">
        <f t="shared" si="6"/>
        <v>1.5</v>
      </c>
      <c r="U7" s="17">
        <f>SUM(U4:U6)</f>
        <v>3</v>
      </c>
      <c r="V7" s="17"/>
      <c r="W7" s="31">
        <f t="shared" si="7"/>
        <v>5.5</v>
      </c>
      <c r="X7" s="17">
        <f>SUM(X4:X6)</f>
        <v>11</v>
      </c>
      <c r="Y7" s="17"/>
      <c r="Z7" s="31">
        <f t="shared" si="8"/>
        <v>4.5</v>
      </c>
      <c r="AA7" s="17">
        <f>SUM(AA4:AA6)</f>
        <v>9</v>
      </c>
      <c r="AB7" s="17"/>
      <c r="AC7" s="31">
        <f t="shared" si="9"/>
        <v>8</v>
      </c>
      <c r="AD7" s="17">
        <f>SUM(AD4:AD6)</f>
        <v>16</v>
      </c>
      <c r="AM7" s="14"/>
      <c r="AN7" s="14"/>
      <c r="AO7" s="14"/>
      <c r="AP7" s="14"/>
      <c r="AQ7" s="14"/>
      <c r="AR7" s="14"/>
      <c r="AS7" s="14"/>
      <c r="AT7" s="14"/>
    </row>
    <row r="8" spans="1:46" ht="19.350000000000001" customHeight="1" thickBot="1" x14ac:dyDescent="0.25">
      <c r="A8" s="331" t="s">
        <v>1</v>
      </c>
      <c r="B8" s="332"/>
      <c r="C8" s="333"/>
      <c r="D8" s="331" t="s">
        <v>1</v>
      </c>
      <c r="E8" s="332"/>
      <c r="F8" s="333"/>
      <c r="G8" s="331" t="s">
        <v>1</v>
      </c>
      <c r="H8" s="332"/>
      <c r="I8" s="333"/>
      <c r="J8" s="331" t="s">
        <v>1</v>
      </c>
      <c r="K8" s="332"/>
      <c r="L8" s="333"/>
      <c r="M8" s="331" t="s">
        <v>1</v>
      </c>
      <c r="N8" s="332"/>
      <c r="O8" s="333"/>
      <c r="P8" s="331" t="s">
        <v>1</v>
      </c>
      <c r="Q8" s="332"/>
      <c r="R8" s="333"/>
      <c r="S8" s="331" t="s">
        <v>1</v>
      </c>
      <c r="T8" s="332"/>
      <c r="U8" s="333"/>
      <c r="V8" s="331" t="s">
        <v>1</v>
      </c>
      <c r="W8" s="332"/>
      <c r="X8" s="333"/>
      <c r="Y8" s="331" t="s">
        <v>1</v>
      </c>
      <c r="Z8" s="332"/>
      <c r="AA8" s="333"/>
      <c r="AB8" s="331" t="s">
        <v>1</v>
      </c>
      <c r="AC8" s="332"/>
      <c r="AD8" s="333"/>
      <c r="AM8" s="14"/>
      <c r="AN8" s="14"/>
      <c r="AO8" s="14"/>
      <c r="AP8" s="14"/>
      <c r="AQ8" s="14"/>
      <c r="AR8" s="14"/>
      <c r="AS8" s="14"/>
      <c r="AT8" s="14"/>
    </row>
    <row r="9" spans="1:46" s="2" customFormat="1" ht="19.350000000000001" customHeight="1" thickBot="1" x14ac:dyDescent="0.3">
      <c r="A9" s="19" t="s">
        <v>80</v>
      </c>
      <c r="B9" s="20">
        <f t="shared" ref="B9:B16" si="10">0.5*C9</f>
        <v>3.5</v>
      </c>
      <c r="C9" s="36">
        <v>7</v>
      </c>
      <c r="D9" s="19" t="s">
        <v>39</v>
      </c>
      <c r="E9" s="19">
        <f>0.5*F9</f>
        <v>0.5</v>
      </c>
      <c r="F9" s="36">
        <v>1</v>
      </c>
      <c r="G9" s="19" t="s">
        <v>45</v>
      </c>
      <c r="H9" s="19">
        <f>0.5*I9</f>
        <v>6</v>
      </c>
      <c r="I9" s="36">
        <v>12</v>
      </c>
      <c r="J9" s="19" t="s">
        <v>88</v>
      </c>
      <c r="K9" s="19">
        <f>0.5*L9</f>
        <v>5</v>
      </c>
      <c r="L9" s="36">
        <v>10</v>
      </c>
      <c r="M9" s="19" t="s">
        <v>54</v>
      </c>
      <c r="N9" s="19">
        <f>0.5*O9</f>
        <v>2</v>
      </c>
      <c r="O9" s="36">
        <v>4</v>
      </c>
      <c r="P9" s="19" t="s">
        <v>18</v>
      </c>
      <c r="Q9" s="19">
        <f>0.5*R9</f>
        <v>4</v>
      </c>
      <c r="R9" s="36">
        <v>8</v>
      </c>
      <c r="S9" s="19" t="s">
        <v>161</v>
      </c>
      <c r="T9" s="19">
        <f>0.5*U9</f>
        <v>3.5</v>
      </c>
      <c r="U9" s="36">
        <v>7</v>
      </c>
      <c r="V9" s="19" t="s">
        <v>27</v>
      </c>
      <c r="W9" s="19">
        <f>0.5*X9</f>
        <v>2</v>
      </c>
      <c r="X9" s="36">
        <v>4</v>
      </c>
      <c r="Y9" s="19" t="s">
        <v>93</v>
      </c>
      <c r="Z9" s="19">
        <f>0.5*AA9</f>
        <v>1</v>
      </c>
      <c r="AA9" s="36">
        <v>2</v>
      </c>
      <c r="AB9" s="19" t="s">
        <v>58</v>
      </c>
      <c r="AC9" s="19">
        <f>0.5*AD9</f>
        <v>2.5</v>
      </c>
      <c r="AD9" s="36">
        <v>5</v>
      </c>
      <c r="AM9" s="13"/>
      <c r="AN9" s="13"/>
      <c r="AO9" s="13"/>
      <c r="AP9" s="13"/>
      <c r="AQ9" s="13"/>
      <c r="AR9" s="13"/>
      <c r="AS9" s="13"/>
      <c r="AT9" s="13"/>
    </row>
    <row r="10" spans="1:46" s="2" customFormat="1" ht="19.350000000000001" customHeight="1" thickBot="1" x14ac:dyDescent="0.3">
      <c r="A10" s="21" t="s">
        <v>69</v>
      </c>
      <c r="B10" s="20">
        <f t="shared" si="10"/>
        <v>4.5</v>
      </c>
      <c r="C10" s="37">
        <v>9</v>
      </c>
      <c r="D10" s="21" t="s">
        <v>86</v>
      </c>
      <c r="E10" s="19">
        <f t="shared" ref="E10:E27" si="11">0.5*F10</f>
        <v>12</v>
      </c>
      <c r="F10" s="37">
        <v>24</v>
      </c>
      <c r="G10" s="21" t="s">
        <v>167</v>
      </c>
      <c r="H10" s="19">
        <f t="shared" ref="H10:H17" si="12">0.5*I10</f>
        <v>2</v>
      </c>
      <c r="I10" s="37">
        <v>4</v>
      </c>
      <c r="J10" s="21" t="s">
        <v>164</v>
      </c>
      <c r="K10" s="19">
        <f t="shared" ref="K10:K17" si="13">0.5*L10</f>
        <v>4.5</v>
      </c>
      <c r="L10" s="37">
        <v>9</v>
      </c>
      <c r="M10" s="21" t="s">
        <v>162</v>
      </c>
      <c r="N10" s="19">
        <f t="shared" ref="N10:N17" si="14">0.5*O10</f>
        <v>1.5</v>
      </c>
      <c r="O10" s="37">
        <v>3</v>
      </c>
      <c r="P10" s="21" t="s">
        <v>68</v>
      </c>
      <c r="Q10" s="19">
        <f t="shared" ref="Q10:Q17" si="15">0.5*R10</f>
        <v>2</v>
      </c>
      <c r="R10" s="37">
        <v>4</v>
      </c>
      <c r="S10" s="21" t="s">
        <v>73</v>
      </c>
      <c r="T10" s="19">
        <f t="shared" ref="T10:T17" si="16">0.5*U10</f>
        <v>7</v>
      </c>
      <c r="U10" s="37">
        <v>14</v>
      </c>
      <c r="V10" s="21" t="s">
        <v>168</v>
      </c>
      <c r="W10" s="19">
        <f t="shared" ref="W10:W17" si="17">0.5*X10</f>
        <v>2.5</v>
      </c>
      <c r="X10" s="37">
        <v>5</v>
      </c>
      <c r="Y10" s="21" t="s">
        <v>165</v>
      </c>
      <c r="Z10" s="19">
        <f t="shared" ref="Z10:Z17" si="18">0.5*AA10</f>
        <v>3</v>
      </c>
      <c r="AA10" s="37">
        <v>6</v>
      </c>
      <c r="AB10" s="21" t="s">
        <v>79</v>
      </c>
      <c r="AC10" s="19">
        <f t="shared" ref="AC10:AC17" si="19">0.5*AD10</f>
        <v>5.5</v>
      </c>
      <c r="AD10" s="37">
        <v>11</v>
      </c>
      <c r="AM10" s="13"/>
      <c r="AN10" s="13"/>
      <c r="AO10" s="13"/>
      <c r="AP10" s="13"/>
      <c r="AQ10" s="13"/>
      <c r="AR10" s="13"/>
      <c r="AS10" s="13"/>
      <c r="AT10" s="13"/>
    </row>
    <row r="11" spans="1:46" s="2" customFormat="1" ht="19.350000000000001" customHeight="1" thickBot="1" x14ac:dyDescent="0.3">
      <c r="A11" s="19" t="s">
        <v>75</v>
      </c>
      <c r="B11" s="20">
        <f t="shared" si="10"/>
        <v>3</v>
      </c>
      <c r="C11" s="36">
        <v>6</v>
      </c>
      <c r="D11" s="19" t="s">
        <v>95</v>
      </c>
      <c r="E11" s="19">
        <f t="shared" si="11"/>
        <v>1</v>
      </c>
      <c r="F11" s="36">
        <v>2</v>
      </c>
      <c r="G11" s="19" t="s">
        <v>169</v>
      </c>
      <c r="H11" s="19">
        <f t="shared" si="12"/>
        <v>4</v>
      </c>
      <c r="I11" s="36">
        <v>8</v>
      </c>
      <c r="J11" s="19" t="s">
        <v>177</v>
      </c>
      <c r="K11" s="19">
        <f t="shared" si="13"/>
        <v>1</v>
      </c>
      <c r="L11" s="29">
        <v>2</v>
      </c>
      <c r="M11" s="19" t="s">
        <v>74</v>
      </c>
      <c r="N11" s="19">
        <f t="shared" si="14"/>
        <v>3.5</v>
      </c>
      <c r="O11" s="36">
        <v>7</v>
      </c>
      <c r="P11" s="19" t="s">
        <v>65</v>
      </c>
      <c r="Q11" s="19">
        <f t="shared" si="15"/>
        <v>2.5</v>
      </c>
      <c r="R11" s="36">
        <v>5</v>
      </c>
      <c r="S11" s="19" t="s">
        <v>82</v>
      </c>
      <c r="T11" s="19">
        <f t="shared" si="16"/>
        <v>3</v>
      </c>
      <c r="U11" s="36">
        <v>6</v>
      </c>
      <c r="V11" s="19" t="s">
        <v>170</v>
      </c>
      <c r="W11" s="19">
        <f t="shared" si="17"/>
        <v>1</v>
      </c>
      <c r="X11" s="29">
        <v>2</v>
      </c>
      <c r="Y11" s="19" t="s">
        <v>89</v>
      </c>
      <c r="Z11" s="19">
        <f t="shared" si="18"/>
        <v>0.5</v>
      </c>
      <c r="AA11" s="28">
        <v>1</v>
      </c>
      <c r="AB11" s="19" t="s">
        <v>163</v>
      </c>
      <c r="AC11" s="19">
        <f t="shared" si="19"/>
        <v>2</v>
      </c>
      <c r="AD11" s="36">
        <v>4</v>
      </c>
      <c r="AM11" s="13"/>
      <c r="AN11" s="13"/>
      <c r="AO11" s="13"/>
      <c r="AP11" s="13"/>
      <c r="AQ11" s="13"/>
      <c r="AR11" s="13"/>
      <c r="AS11" s="13"/>
      <c r="AT11" s="13"/>
    </row>
    <row r="12" spans="1:46" s="2" customFormat="1" ht="19.350000000000001" customHeight="1" thickBot="1" x14ac:dyDescent="0.3">
      <c r="A12" s="21" t="s">
        <v>173</v>
      </c>
      <c r="B12" s="20">
        <f t="shared" si="10"/>
        <v>1.5</v>
      </c>
      <c r="C12" s="37">
        <v>3</v>
      </c>
      <c r="D12" s="21" t="s">
        <v>66</v>
      </c>
      <c r="E12" s="19">
        <f t="shared" si="11"/>
        <v>2.5</v>
      </c>
      <c r="F12" s="37">
        <v>5</v>
      </c>
      <c r="G12" s="21" t="s">
        <v>172</v>
      </c>
      <c r="H12" s="19">
        <f t="shared" si="12"/>
        <v>4</v>
      </c>
      <c r="I12" s="40">
        <v>8</v>
      </c>
      <c r="J12" s="21" t="s">
        <v>99</v>
      </c>
      <c r="K12" s="19">
        <f t="shared" si="13"/>
        <v>3</v>
      </c>
      <c r="L12" s="37">
        <v>6</v>
      </c>
      <c r="M12" s="21" t="s">
        <v>174</v>
      </c>
      <c r="N12" s="19">
        <f t="shared" si="14"/>
        <v>1.5</v>
      </c>
      <c r="O12" s="37">
        <v>3</v>
      </c>
      <c r="P12" s="21" t="s">
        <v>25</v>
      </c>
      <c r="Q12" s="19">
        <f t="shared" si="15"/>
        <v>3.5</v>
      </c>
      <c r="R12" s="37">
        <v>7</v>
      </c>
      <c r="S12" s="21" t="s">
        <v>166</v>
      </c>
      <c r="T12" s="19">
        <f t="shared" si="16"/>
        <v>3</v>
      </c>
      <c r="U12" s="37">
        <v>6</v>
      </c>
      <c r="V12" s="21" t="s">
        <v>70</v>
      </c>
      <c r="W12" s="19">
        <f t="shared" si="17"/>
        <v>1.5</v>
      </c>
      <c r="X12" s="37">
        <v>3</v>
      </c>
      <c r="Y12" s="21" t="s">
        <v>78</v>
      </c>
      <c r="Z12" s="19">
        <f t="shared" si="18"/>
        <v>2.5</v>
      </c>
      <c r="AA12" s="37">
        <v>5</v>
      </c>
      <c r="AB12" s="21" t="s">
        <v>85</v>
      </c>
      <c r="AC12" s="19">
        <f t="shared" si="19"/>
        <v>2</v>
      </c>
      <c r="AD12" s="37">
        <v>4</v>
      </c>
      <c r="AM12" s="13"/>
      <c r="AN12" s="13"/>
      <c r="AO12" s="13"/>
      <c r="AP12" s="13"/>
      <c r="AQ12" s="13"/>
      <c r="AR12" s="13"/>
      <c r="AS12" s="13"/>
      <c r="AT12" s="13"/>
    </row>
    <row r="13" spans="1:46" s="2" customFormat="1" ht="19.350000000000001" customHeight="1" thickBot="1" x14ac:dyDescent="0.3">
      <c r="A13" s="19" t="s">
        <v>180</v>
      </c>
      <c r="B13" s="20">
        <f t="shared" si="10"/>
        <v>0.5</v>
      </c>
      <c r="C13" s="36">
        <v>1</v>
      </c>
      <c r="D13" s="19" t="s">
        <v>26</v>
      </c>
      <c r="E13" s="19">
        <f t="shared" si="11"/>
        <v>2</v>
      </c>
      <c r="F13" s="36">
        <v>4</v>
      </c>
      <c r="G13" s="19" t="s">
        <v>175</v>
      </c>
      <c r="H13" s="19">
        <f t="shared" si="12"/>
        <v>2</v>
      </c>
      <c r="I13" s="36">
        <v>4</v>
      </c>
      <c r="J13" s="19" t="s">
        <v>97</v>
      </c>
      <c r="K13" s="19">
        <f t="shared" si="13"/>
        <v>1</v>
      </c>
      <c r="L13" s="36">
        <v>2</v>
      </c>
      <c r="M13" s="19" t="s">
        <v>183</v>
      </c>
      <c r="N13" s="19">
        <f t="shared" si="14"/>
        <v>0.5</v>
      </c>
      <c r="O13" s="36">
        <v>1</v>
      </c>
      <c r="P13" s="19" t="s">
        <v>77</v>
      </c>
      <c r="Q13" s="19">
        <f t="shared" si="15"/>
        <v>2</v>
      </c>
      <c r="R13" s="36">
        <v>4</v>
      </c>
      <c r="S13" s="19" t="s">
        <v>83</v>
      </c>
      <c r="T13" s="19">
        <f t="shared" si="16"/>
        <v>3</v>
      </c>
      <c r="U13" s="29">
        <v>6</v>
      </c>
      <c r="V13" s="19" t="s">
        <v>76</v>
      </c>
      <c r="W13" s="19">
        <f t="shared" si="17"/>
        <v>1.5</v>
      </c>
      <c r="X13" s="29">
        <v>3</v>
      </c>
      <c r="Y13" s="19" t="s">
        <v>176</v>
      </c>
      <c r="Z13" s="19">
        <f t="shared" si="18"/>
        <v>0.5</v>
      </c>
      <c r="AA13" s="29">
        <v>1</v>
      </c>
      <c r="AB13" s="19" t="s">
        <v>96</v>
      </c>
      <c r="AC13" s="19">
        <f t="shared" si="19"/>
        <v>1.5</v>
      </c>
      <c r="AD13" s="36">
        <v>3</v>
      </c>
      <c r="AM13" s="13"/>
      <c r="AN13" s="13"/>
      <c r="AO13" s="13"/>
      <c r="AP13" s="13"/>
      <c r="AQ13" s="13"/>
      <c r="AR13" s="13"/>
      <c r="AS13" s="13"/>
      <c r="AT13" s="13"/>
    </row>
    <row r="14" spans="1:46" s="2" customFormat="1" ht="19.350000000000001" customHeight="1" thickBot="1" x14ac:dyDescent="0.3">
      <c r="A14" s="21" t="s">
        <v>186</v>
      </c>
      <c r="B14" s="20">
        <f t="shared" si="10"/>
        <v>0.5</v>
      </c>
      <c r="C14" s="37">
        <v>1</v>
      </c>
      <c r="D14" s="21" t="s">
        <v>90</v>
      </c>
      <c r="E14" s="19">
        <f t="shared" si="11"/>
        <v>1</v>
      </c>
      <c r="F14" s="27">
        <v>2</v>
      </c>
      <c r="G14" s="21" t="s">
        <v>178</v>
      </c>
      <c r="H14" s="19">
        <f t="shared" si="12"/>
        <v>2</v>
      </c>
      <c r="I14" s="40">
        <v>4</v>
      </c>
      <c r="J14" s="21" t="s">
        <v>67</v>
      </c>
      <c r="K14" s="19">
        <f t="shared" si="13"/>
        <v>0.5</v>
      </c>
      <c r="L14" s="37">
        <v>1</v>
      </c>
      <c r="M14" s="21" t="s">
        <v>94</v>
      </c>
      <c r="N14" s="19">
        <f t="shared" si="14"/>
        <v>1.5</v>
      </c>
      <c r="O14" s="37">
        <v>3</v>
      </c>
      <c r="P14" s="21" t="s">
        <v>24</v>
      </c>
      <c r="Q14" s="19">
        <f t="shared" si="15"/>
        <v>5</v>
      </c>
      <c r="R14" s="37">
        <v>10</v>
      </c>
      <c r="S14" s="21" t="s">
        <v>81</v>
      </c>
      <c r="T14" s="19">
        <f t="shared" si="16"/>
        <v>3.5</v>
      </c>
      <c r="U14" s="37">
        <v>7</v>
      </c>
      <c r="V14" s="21" t="s">
        <v>182</v>
      </c>
      <c r="W14" s="19">
        <f t="shared" si="17"/>
        <v>2.5</v>
      </c>
      <c r="X14" s="37">
        <v>5</v>
      </c>
      <c r="Y14" s="21" t="s">
        <v>185</v>
      </c>
      <c r="Z14" s="19">
        <f t="shared" si="18"/>
        <v>0.5</v>
      </c>
      <c r="AA14" s="40">
        <v>1</v>
      </c>
      <c r="AB14" s="21" t="s">
        <v>179</v>
      </c>
      <c r="AC14" s="19">
        <f t="shared" si="19"/>
        <v>1.5</v>
      </c>
      <c r="AD14" s="37">
        <v>3</v>
      </c>
      <c r="AM14" s="13"/>
      <c r="AN14" s="13"/>
      <c r="AO14" s="13"/>
      <c r="AP14" s="13"/>
      <c r="AQ14" s="13"/>
      <c r="AR14" s="13"/>
      <c r="AS14" s="13"/>
      <c r="AT14" s="13"/>
    </row>
    <row r="15" spans="1:46" s="2" customFormat="1" ht="19.350000000000001" customHeight="1" thickBot="1" x14ac:dyDescent="0.3">
      <c r="A15" s="19" t="s">
        <v>189</v>
      </c>
      <c r="B15" s="20">
        <f t="shared" si="10"/>
        <v>0.5</v>
      </c>
      <c r="C15" s="36">
        <v>1</v>
      </c>
      <c r="D15" s="19" t="s">
        <v>181</v>
      </c>
      <c r="E15" s="19">
        <f t="shared" si="11"/>
        <v>0.5</v>
      </c>
      <c r="F15" s="29">
        <v>1</v>
      </c>
      <c r="G15" s="19" t="s">
        <v>190</v>
      </c>
      <c r="H15" s="19">
        <f t="shared" si="12"/>
        <v>0.5</v>
      </c>
      <c r="I15" s="36">
        <v>1</v>
      </c>
      <c r="J15" s="19" t="s">
        <v>84</v>
      </c>
      <c r="K15" s="19">
        <f t="shared" si="13"/>
        <v>0.5</v>
      </c>
      <c r="L15" s="36">
        <v>1</v>
      </c>
      <c r="M15" s="19" t="s">
        <v>98</v>
      </c>
      <c r="N15" s="19">
        <f t="shared" si="14"/>
        <v>0.5</v>
      </c>
      <c r="O15" s="36">
        <v>1</v>
      </c>
      <c r="P15" s="19" t="s">
        <v>171</v>
      </c>
      <c r="Q15" s="19">
        <f t="shared" si="15"/>
        <v>2.5</v>
      </c>
      <c r="R15" s="28">
        <v>5</v>
      </c>
      <c r="S15" s="19" t="s">
        <v>187</v>
      </c>
      <c r="T15" s="19">
        <f t="shared" si="16"/>
        <v>1</v>
      </c>
      <c r="U15" s="29">
        <v>2</v>
      </c>
      <c r="V15" s="19" t="s">
        <v>71</v>
      </c>
      <c r="W15" s="19">
        <f t="shared" si="17"/>
        <v>0.5</v>
      </c>
      <c r="X15" s="36">
        <v>1</v>
      </c>
      <c r="Y15" s="19" t="s">
        <v>100</v>
      </c>
      <c r="Z15" s="19">
        <f t="shared" si="18"/>
        <v>0.5</v>
      </c>
      <c r="AA15" s="29">
        <v>1</v>
      </c>
      <c r="AB15" s="19" t="s">
        <v>72</v>
      </c>
      <c r="AC15" s="19">
        <f t="shared" si="19"/>
        <v>1</v>
      </c>
      <c r="AD15" s="36">
        <v>2</v>
      </c>
      <c r="AM15" s="13"/>
      <c r="AN15" s="13"/>
      <c r="AO15" s="13"/>
      <c r="AP15" s="13"/>
      <c r="AQ15" s="13"/>
      <c r="AR15" s="13"/>
      <c r="AS15" s="13"/>
      <c r="AT15" s="13"/>
    </row>
    <row r="16" spans="1:46" s="2" customFormat="1" ht="19.350000000000001" customHeight="1" thickBot="1" x14ac:dyDescent="0.3">
      <c r="A16" s="19" t="s">
        <v>194</v>
      </c>
      <c r="B16" s="20">
        <f t="shared" si="10"/>
        <v>0.5</v>
      </c>
      <c r="C16" s="36">
        <v>1</v>
      </c>
      <c r="D16" s="19" t="s">
        <v>91</v>
      </c>
      <c r="E16" s="19">
        <f t="shared" si="11"/>
        <v>0.5</v>
      </c>
      <c r="F16" s="28">
        <v>1</v>
      </c>
      <c r="G16" s="19" t="s">
        <v>195</v>
      </c>
      <c r="H16" s="19">
        <f t="shared" si="12"/>
        <v>0.5</v>
      </c>
      <c r="I16" s="29">
        <v>1</v>
      </c>
      <c r="J16" s="19" t="s">
        <v>193</v>
      </c>
      <c r="K16" s="19">
        <f t="shared" si="13"/>
        <v>0.5</v>
      </c>
      <c r="L16" s="29">
        <v>1</v>
      </c>
      <c r="M16" s="19" t="s">
        <v>191</v>
      </c>
      <c r="N16" s="19">
        <f t="shared" si="14"/>
        <v>0.5</v>
      </c>
      <c r="O16" s="36">
        <v>1</v>
      </c>
      <c r="P16" s="19" t="s">
        <v>92</v>
      </c>
      <c r="Q16" s="19">
        <f t="shared" si="15"/>
        <v>0.5</v>
      </c>
      <c r="R16" s="29">
        <v>1</v>
      </c>
      <c r="S16" s="19" t="s">
        <v>188</v>
      </c>
      <c r="T16" s="19">
        <f t="shared" si="16"/>
        <v>0.5</v>
      </c>
      <c r="U16" s="36">
        <v>1</v>
      </c>
      <c r="V16" s="19" t="s">
        <v>87</v>
      </c>
      <c r="W16" s="19">
        <f t="shared" si="17"/>
        <v>0.5</v>
      </c>
      <c r="X16" s="29">
        <v>1</v>
      </c>
      <c r="Y16" s="19" t="s">
        <v>192</v>
      </c>
      <c r="Z16" s="19">
        <f t="shared" si="18"/>
        <v>0.5</v>
      </c>
      <c r="AA16" s="29">
        <v>1</v>
      </c>
      <c r="AB16" s="19" t="s">
        <v>184</v>
      </c>
      <c r="AC16" s="19">
        <f t="shared" si="19"/>
        <v>0.5</v>
      </c>
      <c r="AD16" s="29">
        <v>1</v>
      </c>
      <c r="AM16" s="13"/>
      <c r="AN16" s="13"/>
      <c r="AO16" s="13"/>
      <c r="AP16" s="13"/>
      <c r="AQ16" s="13"/>
      <c r="AR16" s="13"/>
      <c r="AS16" s="13"/>
      <c r="AT16" s="13"/>
    </row>
    <row r="17" spans="1:46" ht="19.350000000000001" customHeight="1" thickBot="1" x14ac:dyDescent="0.25">
      <c r="A17" s="20"/>
      <c r="B17" s="20">
        <f>0.5*C17</f>
        <v>14.5</v>
      </c>
      <c r="C17" s="20">
        <f>SUM(C9:C16)</f>
        <v>29</v>
      </c>
      <c r="D17" s="19"/>
      <c r="E17" s="19">
        <f t="shared" si="11"/>
        <v>20</v>
      </c>
      <c r="F17" s="19">
        <f>SUM(F9:F16)</f>
        <v>40</v>
      </c>
      <c r="G17" s="19"/>
      <c r="H17" s="19">
        <f t="shared" si="12"/>
        <v>21</v>
      </c>
      <c r="I17" s="19">
        <f>SUM(I9:I16)</f>
        <v>42</v>
      </c>
      <c r="J17" s="19"/>
      <c r="K17" s="19">
        <f t="shared" si="13"/>
        <v>16</v>
      </c>
      <c r="L17" s="19">
        <f>SUM(L9:L16)</f>
        <v>32</v>
      </c>
      <c r="M17" s="19"/>
      <c r="N17" s="19">
        <f t="shared" si="14"/>
        <v>11.5</v>
      </c>
      <c r="O17" s="19">
        <f>SUM(O9:O16)</f>
        <v>23</v>
      </c>
      <c r="P17" s="19"/>
      <c r="Q17" s="19">
        <f t="shared" si="15"/>
        <v>22</v>
      </c>
      <c r="R17" s="19">
        <f>SUM(R9:R16)</f>
        <v>44</v>
      </c>
      <c r="S17" s="19"/>
      <c r="T17" s="19">
        <f t="shared" si="16"/>
        <v>24.5</v>
      </c>
      <c r="U17" s="19">
        <f>SUM(U9:U16)</f>
        <v>49</v>
      </c>
      <c r="V17" s="19"/>
      <c r="W17" s="19">
        <f t="shared" si="17"/>
        <v>12</v>
      </c>
      <c r="X17" s="19">
        <f>SUM(X9:X16)</f>
        <v>24</v>
      </c>
      <c r="Y17" s="19"/>
      <c r="Z17" s="19">
        <f t="shared" si="18"/>
        <v>9</v>
      </c>
      <c r="AA17" s="19">
        <f>SUM(AA9:AA16)</f>
        <v>18</v>
      </c>
      <c r="AB17" s="19"/>
      <c r="AC17" s="19">
        <f t="shared" si="19"/>
        <v>16.5</v>
      </c>
      <c r="AD17" s="19">
        <f>SUM(AD9:AD16)</f>
        <v>33</v>
      </c>
      <c r="AM17" s="14"/>
      <c r="AN17" s="14"/>
      <c r="AO17" s="14"/>
      <c r="AP17" s="14"/>
      <c r="AQ17" s="14"/>
      <c r="AR17" s="14"/>
      <c r="AS17" s="14"/>
      <c r="AT17" s="14"/>
    </row>
    <row r="18" spans="1:46" ht="19.350000000000001" customHeight="1" thickBot="1" x14ac:dyDescent="0.25">
      <c r="A18" s="331" t="s">
        <v>2</v>
      </c>
      <c r="B18" s="332"/>
      <c r="C18" s="333"/>
      <c r="D18" s="331" t="s">
        <v>2</v>
      </c>
      <c r="E18" s="332"/>
      <c r="F18" s="333"/>
      <c r="G18" s="331" t="s">
        <v>2</v>
      </c>
      <c r="H18" s="332"/>
      <c r="I18" s="333"/>
      <c r="J18" s="331" t="s">
        <v>2</v>
      </c>
      <c r="K18" s="332"/>
      <c r="L18" s="333"/>
      <c r="M18" s="331" t="s">
        <v>2</v>
      </c>
      <c r="N18" s="332"/>
      <c r="O18" s="333"/>
      <c r="P18" s="331" t="s">
        <v>2</v>
      </c>
      <c r="Q18" s="332"/>
      <c r="R18" s="333"/>
      <c r="S18" s="331" t="s">
        <v>2</v>
      </c>
      <c r="T18" s="332"/>
      <c r="U18" s="333"/>
      <c r="V18" s="331" t="s">
        <v>2</v>
      </c>
      <c r="W18" s="332"/>
      <c r="X18" s="333"/>
      <c r="Y18" s="331" t="s">
        <v>2</v>
      </c>
      <c r="Z18" s="332"/>
      <c r="AA18" s="333"/>
      <c r="AB18" s="331" t="s">
        <v>2</v>
      </c>
      <c r="AC18" s="332"/>
      <c r="AD18" s="333"/>
      <c r="AM18" s="14"/>
      <c r="AN18" s="14"/>
      <c r="AO18" s="14"/>
      <c r="AP18" s="14"/>
      <c r="AQ18" s="14"/>
      <c r="AR18" s="14"/>
      <c r="AS18" s="14"/>
      <c r="AT18" s="14"/>
    </row>
    <row r="19" spans="1:46" s="2" customFormat="1" ht="19.350000000000001" customHeight="1" thickBot="1" x14ac:dyDescent="0.3">
      <c r="A19" s="22" t="s">
        <v>52</v>
      </c>
      <c r="B19" s="22">
        <f t="shared" ref="B19:B26" si="20">0.5*C19</f>
        <v>7.5</v>
      </c>
      <c r="C19" s="28">
        <v>15</v>
      </c>
      <c r="D19" s="22" t="s">
        <v>40</v>
      </c>
      <c r="E19" s="22">
        <f t="shared" si="11"/>
        <v>1.5</v>
      </c>
      <c r="F19" s="36">
        <v>3</v>
      </c>
      <c r="G19" s="22" t="s">
        <v>46</v>
      </c>
      <c r="H19" s="22">
        <f t="shared" ref="H19:H27" si="21">0.5*I19</f>
        <v>6.5</v>
      </c>
      <c r="I19" s="36">
        <v>13</v>
      </c>
      <c r="J19" s="22" t="s">
        <v>43</v>
      </c>
      <c r="K19" s="22">
        <f t="shared" ref="K19:K27" si="22">0.5*L19</f>
        <v>0.5</v>
      </c>
      <c r="L19" s="28">
        <v>1</v>
      </c>
      <c r="M19" s="22" t="s">
        <v>55</v>
      </c>
      <c r="N19" s="22">
        <f t="shared" ref="N19:N27" si="23">0.5*O19</f>
        <v>0.5</v>
      </c>
      <c r="O19" s="36">
        <v>1</v>
      </c>
      <c r="P19" s="22" t="s">
        <v>19</v>
      </c>
      <c r="Q19" s="22">
        <f t="shared" ref="Q19:Q27" si="24">0.5*R19</f>
        <v>9.5</v>
      </c>
      <c r="R19" s="36">
        <v>19</v>
      </c>
      <c r="S19" s="22" t="s">
        <v>38</v>
      </c>
      <c r="T19" s="22">
        <f t="shared" ref="T19:T27" si="25">0.5*U19</f>
        <v>2</v>
      </c>
      <c r="U19" s="36">
        <v>4</v>
      </c>
      <c r="V19" s="22" t="s">
        <v>31</v>
      </c>
      <c r="W19" s="22">
        <f t="shared" ref="W19:W27" si="26">0.5*X19</f>
        <v>20</v>
      </c>
      <c r="X19" s="36">
        <v>40</v>
      </c>
      <c r="Y19" s="22" t="s">
        <v>49</v>
      </c>
      <c r="Z19" s="22">
        <f t="shared" ref="Z19:Z27" si="27">0.5*AA19</f>
        <v>9</v>
      </c>
      <c r="AA19" s="36">
        <v>18</v>
      </c>
      <c r="AB19" s="22" t="s">
        <v>30</v>
      </c>
      <c r="AC19" s="22">
        <f t="shared" ref="AC19:AC27" si="28">0.5*AD19</f>
        <v>5.5</v>
      </c>
      <c r="AD19" s="36">
        <v>11</v>
      </c>
      <c r="AM19" s="13"/>
      <c r="AN19" s="13"/>
      <c r="AO19" s="13"/>
      <c r="AP19" s="13"/>
      <c r="AQ19" s="13"/>
      <c r="AR19" s="13"/>
      <c r="AS19" s="13"/>
      <c r="AT19" s="13"/>
    </row>
    <row r="20" spans="1:46" s="2" customFormat="1" ht="19.350000000000001" customHeight="1" thickBot="1" x14ac:dyDescent="0.3">
      <c r="A20" s="23" t="s">
        <v>196</v>
      </c>
      <c r="B20" s="22">
        <f t="shared" si="20"/>
        <v>7.5</v>
      </c>
      <c r="C20" s="37">
        <v>15</v>
      </c>
      <c r="D20" s="23" t="s">
        <v>201</v>
      </c>
      <c r="E20" s="22">
        <f t="shared" si="11"/>
        <v>5</v>
      </c>
      <c r="F20" s="37">
        <v>10</v>
      </c>
      <c r="G20" s="23" t="s">
        <v>28</v>
      </c>
      <c r="H20" s="22">
        <f t="shared" si="21"/>
        <v>14.5</v>
      </c>
      <c r="I20" s="37">
        <v>29</v>
      </c>
      <c r="J20" s="23" t="s">
        <v>102</v>
      </c>
      <c r="K20" s="22">
        <f t="shared" si="22"/>
        <v>8.5</v>
      </c>
      <c r="L20" s="37">
        <v>17</v>
      </c>
      <c r="M20" s="23" t="s">
        <v>197</v>
      </c>
      <c r="N20" s="22">
        <f t="shared" si="23"/>
        <v>19</v>
      </c>
      <c r="O20" s="37">
        <v>38</v>
      </c>
      <c r="P20" s="23" t="s">
        <v>202</v>
      </c>
      <c r="Q20" s="22">
        <f t="shared" si="24"/>
        <v>11</v>
      </c>
      <c r="R20" s="37">
        <v>22</v>
      </c>
      <c r="S20" s="23" t="s">
        <v>104</v>
      </c>
      <c r="T20" s="22">
        <f t="shared" si="25"/>
        <v>4.5</v>
      </c>
      <c r="U20" s="37">
        <v>9</v>
      </c>
      <c r="V20" s="23" t="s">
        <v>107</v>
      </c>
      <c r="W20" s="22">
        <f t="shared" si="26"/>
        <v>20</v>
      </c>
      <c r="X20" s="37">
        <v>40</v>
      </c>
      <c r="Y20" s="23" t="s">
        <v>210</v>
      </c>
      <c r="Z20" s="22">
        <f t="shared" si="27"/>
        <v>1.5</v>
      </c>
      <c r="AA20" s="37">
        <v>3</v>
      </c>
      <c r="AB20" s="23" t="s">
        <v>108</v>
      </c>
      <c r="AC20" s="22">
        <f t="shared" si="28"/>
        <v>5.5</v>
      </c>
      <c r="AD20" s="37">
        <v>11</v>
      </c>
      <c r="AM20" s="13"/>
      <c r="AN20" s="13"/>
      <c r="AO20" s="13"/>
      <c r="AP20" s="13"/>
      <c r="AQ20" s="13"/>
      <c r="AR20" s="13"/>
      <c r="AS20" s="13"/>
      <c r="AT20" s="13"/>
    </row>
    <row r="21" spans="1:46" s="2" customFormat="1" ht="19.350000000000001" customHeight="1" thickBot="1" x14ac:dyDescent="0.3">
      <c r="A21" s="22" t="s">
        <v>199</v>
      </c>
      <c r="B21" s="22">
        <f t="shared" si="20"/>
        <v>17.5</v>
      </c>
      <c r="C21" s="36">
        <v>35</v>
      </c>
      <c r="D21" s="22" t="s">
        <v>205</v>
      </c>
      <c r="E21" s="22">
        <f t="shared" si="11"/>
        <v>18</v>
      </c>
      <c r="F21" s="36">
        <v>36</v>
      </c>
      <c r="G21" s="22" t="s">
        <v>206</v>
      </c>
      <c r="H21" s="22">
        <f t="shared" si="21"/>
        <v>3.5</v>
      </c>
      <c r="I21" s="36">
        <v>7</v>
      </c>
      <c r="J21" s="22" t="s">
        <v>112</v>
      </c>
      <c r="K21" s="22">
        <f t="shared" si="22"/>
        <v>16</v>
      </c>
      <c r="L21" s="36">
        <v>32</v>
      </c>
      <c r="M21" s="22" t="s">
        <v>198</v>
      </c>
      <c r="N21" s="22">
        <f t="shared" si="23"/>
        <v>2</v>
      </c>
      <c r="O21" s="36">
        <v>4</v>
      </c>
      <c r="P21" s="22" t="s">
        <v>29</v>
      </c>
      <c r="Q21" s="22">
        <f t="shared" si="24"/>
        <v>8</v>
      </c>
      <c r="R21" s="36">
        <v>16</v>
      </c>
      <c r="S21" s="22" t="s">
        <v>204</v>
      </c>
      <c r="T21" s="22">
        <f t="shared" si="25"/>
        <v>5</v>
      </c>
      <c r="U21" s="36">
        <v>10</v>
      </c>
      <c r="V21" s="22" t="s">
        <v>203</v>
      </c>
      <c r="W21" s="22">
        <f t="shared" si="26"/>
        <v>9</v>
      </c>
      <c r="X21" s="28">
        <v>18</v>
      </c>
      <c r="Y21" s="22" t="s">
        <v>111</v>
      </c>
      <c r="Z21" s="22">
        <f t="shared" si="27"/>
        <v>7</v>
      </c>
      <c r="AA21" s="36">
        <v>14</v>
      </c>
      <c r="AB21" s="22" t="s">
        <v>115</v>
      </c>
      <c r="AC21" s="22">
        <f t="shared" si="28"/>
        <v>0.5</v>
      </c>
      <c r="AD21" s="28">
        <v>1</v>
      </c>
      <c r="AM21" s="13"/>
      <c r="AN21" s="13"/>
      <c r="AO21" s="13"/>
      <c r="AP21" s="13"/>
      <c r="AQ21" s="13"/>
      <c r="AR21" s="13"/>
      <c r="AS21" s="13"/>
      <c r="AT21" s="13"/>
    </row>
    <row r="22" spans="1:46" s="2" customFormat="1" ht="19.350000000000001" customHeight="1" thickBot="1" x14ac:dyDescent="0.3">
      <c r="A22" s="23" t="s">
        <v>200</v>
      </c>
      <c r="B22" s="22">
        <f t="shared" si="20"/>
        <v>0.5</v>
      </c>
      <c r="C22" s="37">
        <v>1</v>
      </c>
      <c r="D22" s="23" t="s">
        <v>211</v>
      </c>
      <c r="E22" s="22">
        <f t="shared" si="11"/>
        <v>1</v>
      </c>
      <c r="F22" s="37">
        <v>2</v>
      </c>
      <c r="G22" s="23" t="s">
        <v>207</v>
      </c>
      <c r="H22" s="22">
        <f t="shared" si="21"/>
        <v>3</v>
      </c>
      <c r="I22" s="37">
        <v>6</v>
      </c>
      <c r="J22" s="23" t="s">
        <v>117</v>
      </c>
      <c r="K22" s="22">
        <f t="shared" si="22"/>
        <v>4</v>
      </c>
      <c r="L22" s="37">
        <v>8</v>
      </c>
      <c r="M22" s="23" t="s">
        <v>118</v>
      </c>
      <c r="N22" s="22">
        <f t="shared" si="23"/>
        <v>4.5</v>
      </c>
      <c r="O22" s="37">
        <v>9</v>
      </c>
      <c r="P22" s="23" t="s">
        <v>113</v>
      </c>
      <c r="Q22" s="22">
        <f t="shared" si="24"/>
        <v>5</v>
      </c>
      <c r="R22" s="37">
        <v>10</v>
      </c>
      <c r="S22" s="23" t="s">
        <v>208</v>
      </c>
      <c r="T22" s="22">
        <f t="shared" si="25"/>
        <v>2.5</v>
      </c>
      <c r="U22" s="37">
        <v>5</v>
      </c>
      <c r="V22" s="23" t="s">
        <v>235</v>
      </c>
      <c r="W22" s="22">
        <f t="shared" si="26"/>
        <v>1.5</v>
      </c>
      <c r="X22" s="37">
        <v>3</v>
      </c>
      <c r="Y22" s="23" t="s">
        <v>217</v>
      </c>
      <c r="Z22" s="22">
        <f t="shared" si="27"/>
        <v>2.5</v>
      </c>
      <c r="AA22" s="27">
        <v>5</v>
      </c>
      <c r="AB22" s="23" t="s">
        <v>105</v>
      </c>
      <c r="AC22" s="22">
        <f t="shared" si="28"/>
        <v>3.5</v>
      </c>
      <c r="AD22" s="37">
        <v>7</v>
      </c>
      <c r="AM22" s="13"/>
      <c r="AN22" s="13"/>
      <c r="AO22" s="13"/>
      <c r="AP22" s="13"/>
      <c r="AQ22" s="13"/>
      <c r="AR22" s="13"/>
      <c r="AS22" s="13"/>
      <c r="AT22" s="13"/>
    </row>
    <row r="23" spans="1:46" s="2" customFormat="1" ht="19.350000000000001" customHeight="1" thickBot="1" x14ac:dyDescent="0.3">
      <c r="A23" s="22" t="s">
        <v>226</v>
      </c>
      <c r="B23" s="22">
        <f t="shared" si="20"/>
        <v>0.5</v>
      </c>
      <c r="C23" s="36">
        <v>1</v>
      </c>
      <c r="D23" s="22" t="s">
        <v>212</v>
      </c>
      <c r="E23" s="22">
        <f t="shared" si="11"/>
        <v>0.5</v>
      </c>
      <c r="F23" s="36">
        <v>1</v>
      </c>
      <c r="G23" s="22" t="s">
        <v>214</v>
      </c>
      <c r="H23" s="22">
        <f t="shared" si="21"/>
        <v>1.5</v>
      </c>
      <c r="I23" s="36">
        <v>3</v>
      </c>
      <c r="J23" s="22" t="s">
        <v>209</v>
      </c>
      <c r="K23" s="22">
        <f t="shared" si="22"/>
        <v>1</v>
      </c>
      <c r="L23" s="36">
        <v>2</v>
      </c>
      <c r="M23" s="22" t="s">
        <v>215</v>
      </c>
      <c r="N23" s="22">
        <f t="shared" si="23"/>
        <v>4</v>
      </c>
      <c r="O23" s="36">
        <v>8</v>
      </c>
      <c r="P23" s="22" t="s">
        <v>216</v>
      </c>
      <c r="Q23" s="22">
        <f t="shared" si="24"/>
        <v>4</v>
      </c>
      <c r="R23" s="36">
        <v>8</v>
      </c>
      <c r="S23" s="22" t="s">
        <v>213</v>
      </c>
      <c r="T23" s="22">
        <f t="shared" si="25"/>
        <v>4</v>
      </c>
      <c r="U23" s="36">
        <v>8</v>
      </c>
      <c r="V23" s="22" t="s">
        <v>109</v>
      </c>
      <c r="W23" s="22">
        <f t="shared" si="26"/>
        <v>2.5</v>
      </c>
      <c r="X23" s="29">
        <v>5</v>
      </c>
      <c r="Y23" s="22" t="s">
        <v>218</v>
      </c>
      <c r="Z23" s="22">
        <f t="shared" si="27"/>
        <v>0.5</v>
      </c>
      <c r="AA23" s="36">
        <v>1</v>
      </c>
      <c r="AB23" s="22" t="s">
        <v>220</v>
      </c>
      <c r="AC23" s="22">
        <f t="shared" si="28"/>
        <v>1</v>
      </c>
      <c r="AD23" s="36">
        <v>2</v>
      </c>
      <c r="AM23" s="13"/>
      <c r="AN23" s="13"/>
      <c r="AO23" s="13"/>
      <c r="AP23" s="13"/>
      <c r="AQ23" s="13"/>
      <c r="AR23" s="13"/>
      <c r="AS23" s="13"/>
      <c r="AT23" s="13"/>
    </row>
    <row r="24" spans="1:46" s="2" customFormat="1" ht="19.350000000000001" customHeight="1" thickBot="1" x14ac:dyDescent="0.3">
      <c r="A24" s="23" t="s">
        <v>234</v>
      </c>
      <c r="B24" s="22">
        <f t="shared" si="20"/>
        <v>0.5</v>
      </c>
      <c r="C24" s="37">
        <v>1</v>
      </c>
      <c r="D24" s="23" t="s">
        <v>103</v>
      </c>
      <c r="E24" s="22">
        <f t="shared" si="11"/>
        <v>2.5</v>
      </c>
      <c r="F24" s="27">
        <v>5</v>
      </c>
      <c r="G24" s="23" t="s">
        <v>219</v>
      </c>
      <c r="H24" s="22">
        <f t="shared" si="21"/>
        <v>5</v>
      </c>
      <c r="I24" s="40">
        <v>10</v>
      </c>
      <c r="J24" s="23" t="s">
        <v>222</v>
      </c>
      <c r="K24" s="22">
        <f t="shared" si="22"/>
        <v>4</v>
      </c>
      <c r="L24" s="37">
        <v>8</v>
      </c>
      <c r="M24" s="26" t="s">
        <v>223</v>
      </c>
      <c r="N24" s="22">
        <f t="shared" si="23"/>
        <v>2.5</v>
      </c>
      <c r="O24" s="38">
        <v>5</v>
      </c>
      <c r="P24" s="23" t="s">
        <v>32</v>
      </c>
      <c r="Q24" s="22">
        <f t="shared" si="24"/>
        <v>6.5</v>
      </c>
      <c r="R24" s="37">
        <v>13</v>
      </c>
      <c r="S24" s="23" t="s">
        <v>110</v>
      </c>
      <c r="T24" s="22">
        <f t="shared" si="25"/>
        <v>4.5</v>
      </c>
      <c r="U24" s="37">
        <v>9</v>
      </c>
      <c r="V24" s="23" t="s">
        <v>240</v>
      </c>
      <c r="W24" s="22">
        <f t="shared" si="26"/>
        <v>0.5</v>
      </c>
      <c r="X24" s="40">
        <v>1</v>
      </c>
      <c r="Y24" s="23" t="s">
        <v>225</v>
      </c>
      <c r="Z24" s="22">
        <f t="shared" si="27"/>
        <v>0.5</v>
      </c>
      <c r="AA24" s="40">
        <v>1</v>
      </c>
      <c r="AB24" s="23" t="s">
        <v>119</v>
      </c>
      <c r="AC24" s="22">
        <f t="shared" si="28"/>
        <v>1</v>
      </c>
      <c r="AD24" s="37">
        <v>2</v>
      </c>
      <c r="AM24" s="13"/>
      <c r="AN24" s="13"/>
      <c r="AO24" s="13"/>
      <c r="AP24" s="13"/>
      <c r="AQ24" s="13"/>
      <c r="AR24" s="13"/>
      <c r="AS24" s="13"/>
      <c r="AT24" s="13"/>
    </row>
    <row r="25" spans="1:46" s="2" customFormat="1" ht="19.350000000000001" customHeight="1" thickBot="1" x14ac:dyDescent="0.3">
      <c r="A25" s="22" t="s">
        <v>114</v>
      </c>
      <c r="B25" s="22">
        <f t="shared" si="20"/>
        <v>0.5</v>
      </c>
      <c r="C25" s="36">
        <v>1</v>
      </c>
      <c r="D25" s="22" t="s">
        <v>229</v>
      </c>
      <c r="E25" s="22">
        <f t="shared" si="11"/>
        <v>7.5</v>
      </c>
      <c r="F25" s="36">
        <v>15</v>
      </c>
      <c r="G25" s="22" t="s">
        <v>236</v>
      </c>
      <c r="H25" s="22">
        <f t="shared" si="21"/>
        <v>0.5</v>
      </c>
      <c r="I25" s="29">
        <v>1</v>
      </c>
      <c r="J25" s="22" t="s">
        <v>233</v>
      </c>
      <c r="K25" s="22">
        <f t="shared" si="22"/>
        <v>1.5</v>
      </c>
      <c r="L25" s="29">
        <v>3</v>
      </c>
      <c r="M25" s="22" t="s">
        <v>106</v>
      </c>
      <c r="N25" s="22">
        <f t="shared" si="23"/>
        <v>1</v>
      </c>
      <c r="O25" s="40">
        <v>2</v>
      </c>
      <c r="P25" s="22" t="s">
        <v>224</v>
      </c>
      <c r="Q25" s="22">
        <f t="shared" si="24"/>
        <v>3</v>
      </c>
      <c r="R25" s="28">
        <v>6</v>
      </c>
      <c r="S25" s="22" t="s">
        <v>221</v>
      </c>
      <c r="T25" s="22">
        <f t="shared" si="25"/>
        <v>2.5</v>
      </c>
      <c r="U25" s="29">
        <v>5</v>
      </c>
      <c r="V25" s="22" t="s">
        <v>241</v>
      </c>
      <c r="W25" s="22">
        <f t="shared" si="26"/>
        <v>0.5</v>
      </c>
      <c r="X25" s="29">
        <v>1</v>
      </c>
      <c r="Y25" s="22" t="s">
        <v>228</v>
      </c>
      <c r="Z25" s="22">
        <f t="shared" si="27"/>
        <v>1.5</v>
      </c>
      <c r="AA25" s="29">
        <v>3</v>
      </c>
      <c r="AB25" s="22" t="s">
        <v>227</v>
      </c>
      <c r="AC25" s="22">
        <f t="shared" si="28"/>
        <v>8</v>
      </c>
      <c r="AD25" s="36">
        <v>16</v>
      </c>
      <c r="AM25" s="13"/>
      <c r="AN25" s="13"/>
      <c r="AO25" s="13"/>
      <c r="AP25" s="13"/>
      <c r="AQ25" s="13"/>
      <c r="AR25" s="13"/>
      <c r="AS25" s="13"/>
      <c r="AT25" s="13"/>
    </row>
    <row r="26" spans="1:46" s="2" customFormat="1" ht="19.350000000000001" customHeight="1" thickBot="1" x14ac:dyDescent="0.3">
      <c r="A26" s="22" t="s">
        <v>120</v>
      </c>
      <c r="B26" s="22">
        <f t="shared" si="20"/>
        <v>0.5</v>
      </c>
      <c r="C26" s="36">
        <v>1</v>
      </c>
      <c r="D26" s="22" t="s">
        <v>230</v>
      </c>
      <c r="E26" s="22">
        <f t="shared" si="11"/>
        <v>1</v>
      </c>
      <c r="F26" s="29">
        <v>2</v>
      </c>
      <c r="G26" s="22" t="s">
        <v>238</v>
      </c>
      <c r="H26" s="22">
        <f t="shared" si="21"/>
        <v>0.5</v>
      </c>
      <c r="I26" s="29">
        <v>1</v>
      </c>
      <c r="J26" s="22" t="s">
        <v>237</v>
      </c>
      <c r="K26" s="22">
        <f t="shared" si="22"/>
        <v>0.5</v>
      </c>
      <c r="L26" s="36">
        <v>1</v>
      </c>
      <c r="M26" s="22" t="s">
        <v>239</v>
      </c>
      <c r="N26" s="22">
        <f t="shared" si="23"/>
        <v>0.5</v>
      </c>
      <c r="O26" s="36">
        <v>1</v>
      </c>
      <c r="P26" s="22" t="s">
        <v>231</v>
      </c>
      <c r="Q26" s="22">
        <f t="shared" si="24"/>
        <v>1.5</v>
      </c>
      <c r="R26" s="29">
        <v>3</v>
      </c>
      <c r="S26" s="22" t="s">
        <v>101</v>
      </c>
      <c r="T26" s="22">
        <f t="shared" si="25"/>
        <v>3</v>
      </c>
      <c r="U26" s="36">
        <v>6</v>
      </c>
      <c r="V26" s="22" t="s">
        <v>242</v>
      </c>
      <c r="W26" s="22">
        <f t="shared" si="26"/>
        <v>0.5</v>
      </c>
      <c r="X26" s="36">
        <v>1</v>
      </c>
      <c r="Y26" s="22" t="s">
        <v>232</v>
      </c>
      <c r="Z26" s="22">
        <f t="shared" si="27"/>
        <v>2.5</v>
      </c>
      <c r="AA26" s="29">
        <v>5</v>
      </c>
      <c r="AB26" s="22" t="s">
        <v>116</v>
      </c>
      <c r="AC26" s="22">
        <f t="shared" si="28"/>
        <v>0.5</v>
      </c>
      <c r="AD26" s="29">
        <v>1</v>
      </c>
      <c r="AM26" s="13"/>
      <c r="AN26" s="13"/>
      <c r="AO26" s="13"/>
      <c r="AP26" s="13"/>
      <c r="AQ26" s="13"/>
      <c r="AR26" s="13"/>
      <c r="AS26" s="13"/>
      <c r="AT26" s="13"/>
    </row>
    <row r="27" spans="1:46" ht="19.350000000000001" customHeight="1" thickBot="1" x14ac:dyDescent="0.25">
      <c r="A27" s="22"/>
      <c r="B27" s="22">
        <f>0.5*C27</f>
        <v>35</v>
      </c>
      <c r="C27" s="22">
        <f>SUM(C19:C26)</f>
        <v>70</v>
      </c>
      <c r="D27" s="22"/>
      <c r="E27" s="22">
        <f t="shared" si="11"/>
        <v>37</v>
      </c>
      <c r="F27" s="22">
        <f>SUM(F19:F26)</f>
        <v>74</v>
      </c>
      <c r="G27" s="22"/>
      <c r="H27" s="22">
        <f t="shared" si="21"/>
        <v>35</v>
      </c>
      <c r="I27" s="22">
        <f>SUM(I19:I26)</f>
        <v>70</v>
      </c>
      <c r="J27" s="22"/>
      <c r="K27" s="22">
        <f t="shared" si="22"/>
        <v>36</v>
      </c>
      <c r="L27" s="22">
        <f>SUM(L19:L26)</f>
        <v>72</v>
      </c>
      <c r="M27" s="22"/>
      <c r="N27" s="22">
        <f t="shared" si="23"/>
        <v>34</v>
      </c>
      <c r="O27" s="22">
        <f>SUM(O19:O26)</f>
        <v>68</v>
      </c>
      <c r="P27" s="22"/>
      <c r="Q27" s="22">
        <f t="shared" si="24"/>
        <v>48.5</v>
      </c>
      <c r="R27" s="22">
        <f>SUM(R19:R26)</f>
        <v>97</v>
      </c>
      <c r="S27" s="22"/>
      <c r="T27" s="22">
        <f t="shared" si="25"/>
        <v>28</v>
      </c>
      <c r="U27" s="22">
        <f>SUM(U19:U26)</f>
        <v>56</v>
      </c>
      <c r="V27" s="22"/>
      <c r="W27" s="22">
        <f t="shared" si="26"/>
        <v>54.5</v>
      </c>
      <c r="X27" s="22">
        <f>SUM(X19:X26)</f>
        <v>109</v>
      </c>
      <c r="Y27" s="22"/>
      <c r="Z27" s="22">
        <f t="shared" si="27"/>
        <v>25</v>
      </c>
      <c r="AA27" s="22">
        <f>SUM(AA19:AA26)</f>
        <v>50</v>
      </c>
      <c r="AB27" s="22"/>
      <c r="AC27" s="22">
        <f t="shared" si="28"/>
        <v>25.5</v>
      </c>
      <c r="AD27" s="22">
        <f>SUM(AD19:AD26)</f>
        <v>51</v>
      </c>
      <c r="AM27" s="14"/>
      <c r="AN27" s="14"/>
      <c r="AO27" s="14"/>
      <c r="AP27" s="14"/>
      <c r="AQ27" s="14"/>
      <c r="AR27" s="14"/>
      <c r="AS27" s="14"/>
      <c r="AT27" s="14"/>
    </row>
    <row r="28" spans="1:46" ht="19.350000000000001" customHeight="1" thickBot="1" x14ac:dyDescent="0.25">
      <c r="A28" s="331" t="s">
        <v>3</v>
      </c>
      <c r="B28" s="332"/>
      <c r="C28" s="333"/>
      <c r="D28" s="331" t="s">
        <v>3</v>
      </c>
      <c r="E28" s="332"/>
      <c r="F28" s="333"/>
      <c r="G28" s="331" t="s">
        <v>3</v>
      </c>
      <c r="H28" s="332"/>
      <c r="I28" s="333"/>
      <c r="J28" s="331" t="s">
        <v>3</v>
      </c>
      <c r="K28" s="332"/>
      <c r="L28" s="333"/>
      <c r="M28" s="331" t="s">
        <v>3</v>
      </c>
      <c r="N28" s="332"/>
      <c r="O28" s="333"/>
      <c r="P28" s="331" t="s">
        <v>3</v>
      </c>
      <c r="Q28" s="332"/>
      <c r="R28" s="333"/>
      <c r="S28" s="331" t="s">
        <v>3</v>
      </c>
      <c r="T28" s="332"/>
      <c r="U28" s="333"/>
      <c r="V28" s="331" t="s">
        <v>3</v>
      </c>
      <c r="W28" s="332"/>
      <c r="X28" s="333"/>
      <c r="Y28" s="331" t="s">
        <v>3</v>
      </c>
      <c r="Z28" s="332"/>
      <c r="AA28" s="333"/>
      <c r="AB28" s="331" t="s">
        <v>3</v>
      </c>
      <c r="AC28" s="332"/>
      <c r="AD28" s="333"/>
      <c r="AM28" s="14"/>
      <c r="AN28" s="14"/>
      <c r="AO28" s="14"/>
      <c r="AP28" s="14"/>
      <c r="AQ28" s="14"/>
      <c r="AR28" s="14"/>
      <c r="AS28" s="14"/>
      <c r="AT28" s="14"/>
    </row>
    <row r="29" spans="1:46" s="2" customFormat="1" ht="19.350000000000001" customHeight="1" thickBot="1" x14ac:dyDescent="0.3">
      <c r="A29" s="24" t="s">
        <v>53</v>
      </c>
      <c r="B29" s="24">
        <f t="shared" ref="B29:B36" si="29">0.5*C29</f>
        <v>45.5</v>
      </c>
      <c r="C29" s="36">
        <v>91</v>
      </c>
      <c r="D29" s="24" t="s">
        <v>41</v>
      </c>
      <c r="E29" s="24">
        <f t="shared" ref="E29:E35" si="30">0.5*F29</f>
        <v>55.5</v>
      </c>
      <c r="F29" s="36">
        <v>111</v>
      </c>
      <c r="G29" s="24" t="s">
        <v>47</v>
      </c>
      <c r="H29" s="24">
        <f t="shared" ref="H29:H35" si="31">0.5*I29</f>
        <v>9</v>
      </c>
      <c r="I29" s="36">
        <v>18</v>
      </c>
      <c r="J29" s="24" t="s">
        <v>44</v>
      </c>
      <c r="K29" s="24">
        <f t="shared" ref="K29:K35" si="32">0.5*L29</f>
        <v>4</v>
      </c>
      <c r="L29" s="36">
        <v>8</v>
      </c>
      <c r="M29" s="24" t="s">
        <v>56</v>
      </c>
      <c r="N29" s="24">
        <f t="shared" ref="N29:N35" si="33">0.5*O29</f>
        <v>16.5</v>
      </c>
      <c r="O29" s="36">
        <v>33</v>
      </c>
      <c r="P29" s="24" t="s">
        <v>20</v>
      </c>
      <c r="Q29" s="24">
        <f t="shared" ref="Q29:Q35" si="34">0.5*R29</f>
        <v>2.5</v>
      </c>
      <c r="R29" s="36">
        <v>5</v>
      </c>
      <c r="S29" s="24" t="s">
        <v>140</v>
      </c>
      <c r="T29" s="24">
        <f t="shared" ref="T29:T35" si="35">0.5*U29</f>
        <v>60.5</v>
      </c>
      <c r="U29" s="36">
        <v>121</v>
      </c>
      <c r="V29" s="24" t="s">
        <v>139</v>
      </c>
      <c r="W29" s="24">
        <f t="shared" ref="W29:W35" si="36">0.5*X29</f>
        <v>34.5</v>
      </c>
      <c r="X29" s="36">
        <v>69</v>
      </c>
      <c r="Y29" s="24" t="s">
        <v>50</v>
      </c>
      <c r="Z29" s="24">
        <f t="shared" ref="Z29:Z35" si="37">0.5*AA29</f>
        <v>72</v>
      </c>
      <c r="AA29" s="36">
        <v>144</v>
      </c>
      <c r="AB29" s="24" t="s">
        <v>33</v>
      </c>
      <c r="AC29" s="24">
        <f t="shared" ref="AC29:AC35" si="38">0.5*AD29</f>
        <v>60</v>
      </c>
      <c r="AD29" s="36">
        <v>120</v>
      </c>
      <c r="AM29" s="13"/>
      <c r="AN29" s="13"/>
      <c r="AO29" s="13"/>
      <c r="AP29" s="13"/>
      <c r="AQ29" s="13"/>
      <c r="AR29" s="13"/>
      <c r="AS29" s="13"/>
      <c r="AT29" s="13"/>
    </row>
    <row r="30" spans="1:46" s="2" customFormat="1" ht="19.350000000000001" customHeight="1" thickBot="1" x14ac:dyDescent="0.3">
      <c r="A30" s="25" t="s">
        <v>141</v>
      </c>
      <c r="B30" s="24">
        <f t="shared" si="29"/>
        <v>35</v>
      </c>
      <c r="C30" s="27">
        <v>70</v>
      </c>
      <c r="D30" s="25" t="s">
        <v>143</v>
      </c>
      <c r="E30" s="24">
        <f t="shared" si="30"/>
        <v>21.5</v>
      </c>
      <c r="F30" s="37">
        <v>43</v>
      </c>
      <c r="G30" s="25" t="s">
        <v>137</v>
      </c>
      <c r="H30" s="24">
        <f t="shared" si="31"/>
        <v>15</v>
      </c>
      <c r="I30" s="40">
        <v>30</v>
      </c>
      <c r="J30" s="25" t="s">
        <v>132</v>
      </c>
      <c r="K30" s="24">
        <f t="shared" si="32"/>
        <v>41.5</v>
      </c>
      <c r="L30" s="37">
        <v>83</v>
      </c>
      <c r="M30" s="25" t="s">
        <v>243</v>
      </c>
      <c r="N30" s="24">
        <f t="shared" si="33"/>
        <v>6</v>
      </c>
      <c r="O30" s="37">
        <v>12</v>
      </c>
      <c r="P30" s="25" t="s">
        <v>35</v>
      </c>
      <c r="Q30" s="24">
        <f t="shared" si="34"/>
        <v>21.5</v>
      </c>
      <c r="R30" s="36">
        <v>43</v>
      </c>
      <c r="S30" s="25" t="s">
        <v>246</v>
      </c>
      <c r="T30" s="24">
        <f t="shared" si="35"/>
        <v>30</v>
      </c>
      <c r="U30" s="27">
        <v>60</v>
      </c>
      <c r="V30" s="25" t="s">
        <v>142</v>
      </c>
      <c r="W30" s="24">
        <f t="shared" si="36"/>
        <v>31.5</v>
      </c>
      <c r="X30" s="37">
        <v>63</v>
      </c>
      <c r="Y30" s="25" t="s">
        <v>136</v>
      </c>
      <c r="Z30" s="24">
        <f t="shared" si="37"/>
        <v>32</v>
      </c>
      <c r="AA30" s="37">
        <v>64</v>
      </c>
      <c r="AB30" s="25" t="s">
        <v>124</v>
      </c>
      <c r="AC30" s="24">
        <f t="shared" si="38"/>
        <v>16.5</v>
      </c>
      <c r="AD30" s="37">
        <v>33</v>
      </c>
      <c r="AM30" s="13"/>
      <c r="AN30" s="13"/>
      <c r="AO30" s="13"/>
      <c r="AP30" s="13"/>
      <c r="AQ30" s="13"/>
      <c r="AR30" s="13"/>
      <c r="AS30" s="13"/>
      <c r="AT30" s="13"/>
    </row>
    <row r="31" spans="1:46" s="2" customFormat="1" ht="19.350000000000001" customHeight="1" thickBot="1" x14ac:dyDescent="0.3">
      <c r="A31" s="24" t="s">
        <v>250</v>
      </c>
      <c r="B31" s="24">
        <f t="shared" si="29"/>
        <v>3</v>
      </c>
      <c r="C31" s="29">
        <v>6</v>
      </c>
      <c r="D31" s="24" t="s">
        <v>129</v>
      </c>
      <c r="E31" s="24">
        <f t="shared" si="30"/>
        <v>5.5</v>
      </c>
      <c r="F31" s="36">
        <v>11</v>
      </c>
      <c r="G31" s="24" t="s">
        <v>133</v>
      </c>
      <c r="H31" s="24">
        <f t="shared" si="31"/>
        <v>31.5</v>
      </c>
      <c r="I31" s="36">
        <v>63</v>
      </c>
      <c r="J31" s="24" t="s">
        <v>121</v>
      </c>
      <c r="K31" s="24">
        <f t="shared" si="32"/>
        <v>20</v>
      </c>
      <c r="L31" s="36">
        <v>40</v>
      </c>
      <c r="M31" s="24" t="s">
        <v>34</v>
      </c>
      <c r="N31" s="24">
        <f t="shared" si="33"/>
        <v>45</v>
      </c>
      <c r="O31" s="36">
        <v>90</v>
      </c>
      <c r="P31" s="24" t="s">
        <v>245</v>
      </c>
      <c r="Q31" s="24">
        <f t="shared" si="34"/>
        <v>22</v>
      </c>
      <c r="R31" s="36">
        <v>44</v>
      </c>
      <c r="S31" s="24" t="s">
        <v>131</v>
      </c>
      <c r="T31" s="24">
        <f t="shared" si="35"/>
        <v>4</v>
      </c>
      <c r="U31" s="28">
        <v>8</v>
      </c>
      <c r="V31" s="24" t="s">
        <v>251</v>
      </c>
      <c r="W31" s="24">
        <f t="shared" si="36"/>
        <v>2</v>
      </c>
      <c r="X31" s="36">
        <v>4</v>
      </c>
      <c r="Y31" s="24" t="s">
        <v>192</v>
      </c>
      <c r="Z31" s="24">
        <f t="shared" si="37"/>
        <v>11.5</v>
      </c>
      <c r="AA31" s="36">
        <v>23</v>
      </c>
      <c r="AB31" s="24" t="s">
        <v>249</v>
      </c>
      <c r="AC31" s="24">
        <f t="shared" si="38"/>
        <v>7</v>
      </c>
      <c r="AD31" s="36">
        <v>14</v>
      </c>
      <c r="AM31" s="13"/>
      <c r="AN31" s="13"/>
      <c r="AO31" s="13"/>
      <c r="AP31" s="13"/>
      <c r="AQ31" s="13"/>
      <c r="AR31" s="13"/>
      <c r="AS31" s="13"/>
      <c r="AT31" s="13"/>
    </row>
    <row r="32" spans="1:46" s="2" customFormat="1" ht="19.350000000000001" customHeight="1" thickBot="1" x14ac:dyDescent="0.3">
      <c r="A32" s="25" t="s">
        <v>36</v>
      </c>
      <c r="B32" s="24">
        <f t="shared" si="29"/>
        <v>12.5</v>
      </c>
      <c r="C32" s="27">
        <v>25</v>
      </c>
      <c r="D32" s="25" t="s">
        <v>255</v>
      </c>
      <c r="E32" s="24">
        <f t="shared" si="30"/>
        <v>0.5</v>
      </c>
      <c r="F32" s="40">
        <v>1</v>
      </c>
      <c r="G32" s="25" t="s">
        <v>247</v>
      </c>
      <c r="H32" s="24">
        <f t="shared" si="31"/>
        <v>17.5</v>
      </c>
      <c r="I32" s="27">
        <v>35</v>
      </c>
      <c r="J32" s="25" t="s">
        <v>144</v>
      </c>
      <c r="K32" s="24">
        <f t="shared" si="32"/>
        <v>12.5</v>
      </c>
      <c r="L32" s="27">
        <v>25</v>
      </c>
      <c r="M32" s="25" t="s">
        <v>127</v>
      </c>
      <c r="N32" s="24">
        <f t="shared" si="33"/>
        <v>2.5</v>
      </c>
      <c r="O32" s="37">
        <v>5</v>
      </c>
      <c r="P32" s="25" t="s">
        <v>134</v>
      </c>
      <c r="Q32" s="24">
        <f t="shared" si="34"/>
        <v>11.5</v>
      </c>
      <c r="R32" s="28">
        <v>23</v>
      </c>
      <c r="S32" s="25" t="s">
        <v>259</v>
      </c>
      <c r="T32" s="24">
        <f t="shared" si="35"/>
        <v>5.5</v>
      </c>
      <c r="U32" s="27">
        <v>11</v>
      </c>
      <c r="V32" s="25" t="s">
        <v>125</v>
      </c>
      <c r="W32" s="24">
        <f t="shared" si="36"/>
        <v>4</v>
      </c>
      <c r="X32" s="37">
        <v>8</v>
      </c>
      <c r="Y32" s="25" t="s">
        <v>254</v>
      </c>
      <c r="Z32" s="24">
        <f t="shared" si="37"/>
        <v>0.5</v>
      </c>
      <c r="AA32" s="40">
        <v>1</v>
      </c>
      <c r="AB32" s="25" t="s">
        <v>253</v>
      </c>
      <c r="AC32" s="24">
        <f t="shared" si="38"/>
        <v>0.5</v>
      </c>
      <c r="AD32" s="40">
        <v>1</v>
      </c>
      <c r="AM32" s="13"/>
      <c r="AN32" s="13"/>
      <c r="AO32" s="13"/>
      <c r="AP32" s="13"/>
      <c r="AQ32" s="13"/>
      <c r="AR32" s="13"/>
      <c r="AS32" s="13"/>
      <c r="AT32" s="13"/>
    </row>
    <row r="33" spans="1:126" s="2" customFormat="1" ht="19.350000000000001" customHeight="1" thickBot="1" x14ac:dyDescent="0.3">
      <c r="A33" s="24" t="s">
        <v>262</v>
      </c>
      <c r="B33" s="24">
        <f t="shared" si="29"/>
        <v>0.5</v>
      </c>
      <c r="C33" s="36">
        <v>1</v>
      </c>
      <c r="D33" s="24" t="s">
        <v>244</v>
      </c>
      <c r="E33" s="24">
        <f t="shared" si="30"/>
        <v>0.5</v>
      </c>
      <c r="F33" s="29">
        <v>1</v>
      </c>
      <c r="G33" s="24" t="s">
        <v>135</v>
      </c>
      <c r="H33" s="24">
        <f t="shared" si="31"/>
        <v>11.5</v>
      </c>
      <c r="I33" s="29">
        <v>23</v>
      </c>
      <c r="J33" s="24" t="s">
        <v>130</v>
      </c>
      <c r="K33" s="24">
        <f t="shared" si="32"/>
        <v>5</v>
      </c>
      <c r="L33" s="28">
        <v>10</v>
      </c>
      <c r="M33" s="24" t="s">
        <v>122</v>
      </c>
      <c r="N33" s="24">
        <f t="shared" si="33"/>
        <v>18</v>
      </c>
      <c r="O33" s="36">
        <v>36</v>
      </c>
      <c r="P33" s="24" t="s">
        <v>123</v>
      </c>
      <c r="Q33" s="24">
        <f t="shared" si="34"/>
        <v>8.5</v>
      </c>
      <c r="R33" s="36">
        <v>17</v>
      </c>
      <c r="S33" s="24" t="s">
        <v>260</v>
      </c>
      <c r="T33" s="24">
        <f t="shared" si="35"/>
        <v>0.5</v>
      </c>
      <c r="U33" s="28">
        <v>1</v>
      </c>
      <c r="V33" s="24" t="s">
        <v>258</v>
      </c>
      <c r="W33" s="24">
        <f t="shared" si="36"/>
        <v>5</v>
      </c>
      <c r="X33" s="28">
        <v>10</v>
      </c>
      <c r="Y33" s="24" t="s">
        <v>261</v>
      </c>
      <c r="Z33" s="24">
        <f t="shared" si="37"/>
        <v>0.5</v>
      </c>
      <c r="AA33" s="29">
        <v>1</v>
      </c>
      <c r="AB33" s="24" t="s">
        <v>256</v>
      </c>
      <c r="AC33" s="24">
        <f t="shared" si="38"/>
        <v>6.5</v>
      </c>
      <c r="AD33" s="36">
        <v>13</v>
      </c>
      <c r="AM33" s="13"/>
      <c r="AN33" s="13"/>
      <c r="AO33" s="13"/>
      <c r="AP33" s="13"/>
      <c r="AQ33" s="13"/>
      <c r="AR33" s="13"/>
      <c r="AS33" s="13"/>
      <c r="AT33" s="13"/>
    </row>
    <row r="34" spans="1:126" s="2" customFormat="1" ht="19.350000000000001" customHeight="1" thickBot="1" x14ac:dyDescent="0.3">
      <c r="A34" s="24" t="s">
        <v>266</v>
      </c>
      <c r="B34" s="24">
        <f t="shared" si="29"/>
        <v>0.5</v>
      </c>
      <c r="C34" s="29">
        <v>1</v>
      </c>
      <c r="D34" s="24" t="s">
        <v>263</v>
      </c>
      <c r="E34" s="24">
        <f t="shared" si="30"/>
        <v>0.5</v>
      </c>
      <c r="F34" s="29">
        <v>1</v>
      </c>
      <c r="G34" s="24" t="s">
        <v>252</v>
      </c>
      <c r="H34" s="24">
        <f t="shared" si="31"/>
        <v>0.5</v>
      </c>
      <c r="I34" s="36">
        <v>1</v>
      </c>
      <c r="J34" s="24" t="s">
        <v>128</v>
      </c>
      <c r="K34" s="24">
        <f t="shared" si="32"/>
        <v>0.5</v>
      </c>
      <c r="L34" s="29">
        <v>1</v>
      </c>
      <c r="M34" s="24" t="s">
        <v>248</v>
      </c>
      <c r="N34" s="24">
        <f t="shared" si="33"/>
        <v>1.5</v>
      </c>
      <c r="O34" s="29">
        <v>3</v>
      </c>
      <c r="P34" s="24" t="s">
        <v>138</v>
      </c>
      <c r="Q34" s="24">
        <f t="shared" si="34"/>
        <v>2.5</v>
      </c>
      <c r="R34" s="29">
        <v>5</v>
      </c>
      <c r="S34" s="24" t="s">
        <v>264</v>
      </c>
      <c r="T34" s="24">
        <f t="shared" si="35"/>
        <v>0.5</v>
      </c>
      <c r="U34" s="28">
        <v>1</v>
      </c>
      <c r="V34" s="24" t="s">
        <v>126</v>
      </c>
      <c r="W34" s="24">
        <f t="shared" si="36"/>
        <v>1.5</v>
      </c>
      <c r="X34" s="36">
        <v>3</v>
      </c>
      <c r="Y34" s="24" t="s">
        <v>265</v>
      </c>
      <c r="Z34" s="24">
        <f t="shared" si="37"/>
        <v>0.5</v>
      </c>
      <c r="AA34" s="29">
        <v>1</v>
      </c>
      <c r="AB34" s="24" t="s">
        <v>257</v>
      </c>
      <c r="AC34" s="24">
        <f t="shared" si="38"/>
        <v>3.5</v>
      </c>
      <c r="AD34" s="36">
        <v>7</v>
      </c>
      <c r="AM34" s="13"/>
      <c r="AN34" s="13"/>
      <c r="AO34" s="13"/>
      <c r="AP34" s="13"/>
      <c r="AQ34" s="13"/>
      <c r="AR34" s="13"/>
      <c r="AS34" s="13"/>
      <c r="AT34" s="13"/>
    </row>
    <row r="35" spans="1:126" ht="19.350000000000001" customHeight="1" thickBot="1" x14ac:dyDescent="0.25">
      <c r="A35" s="24"/>
      <c r="B35" s="24">
        <f>0.5*C35</f>
        <v>97</v>
      </c>
      <c r="C35" s="24">
        <f>SUM(C29:C34)</f>
        <v>194</v>
      </c>
      <c r="D35" s="24"/>
      <c r="E35" s="24">
        <f t="shared" si="30"/>
        <v>84</v>
      </c>
      <c r="F35" s="24">
        <f>SUM(F29:F34)</f>
        <v>168</v>
      </c>
      <c r="G35" s="24"/>
      <c r="H35" s="24">
        <f t="shared" si="31"/>
        <v>85</v>
      </c>
      <c r="I35" s="24">
        <f>SUM(I29:I34)</f>
        <v>170</v>
      </c>
      <c r="J35" s="24"/>
      <c r="K35" s="24">
        <f t="shared" si="32"/>
        <v>83.5</v>
      </c>
      <c r="L35" s="24">
        <f>SUM(L29:L34)</f>
        <v>167</v>
      </c>
      <c r="M35" s="24"/>
      <c r="N35" s="24">
        <f t="shared" si="33"/>
        <v>89.5</v>
      </c>
      <c r="O35" s="24">
        <f>SUM(O29:O34)</f>
        <v>179</v>
      </c>
      <c r="P35" s="24"/>
      <c r="Q35" s="24">
        <f t="shared" si="34"/>
        <v>68.5</v>
      </c>
      <c r="R35" s="24">
        <f>SUM(R29:R34)</f>
        <v>137</v>
      </c>
      <c r="S35" s="24"/>
      <c r="T35" s="24">
        <f t="shared" si="35"/>
        <v>101</v>
      </c>
      <c r="U35" s="24">
        <f>SUM(U29:U34)</f>
        <v>202</v>
      </c>
      <c r="V35" s="24"/>
      <c r="W35" s="24">
        <f t="shared" si="36"/>
        <v>78.5</v>
      </c>
      <c r="X35" s="24">
        <f>SUM(X29:X34)</f>
        <v>157</v>
      </c>
      <c r="Y35" s="24"/>
      <c r="Z35" s="24">
        <f t="shared" si="37"/>
        <v>117</v>
      </c>
      <c r="AA35" s="24">
        <f>SUM(AA29:AA34)</f>
        <v>234</v>
      </c>
      <c r="AB35" s="24"/>
      <c r="AC35" s="24">
        <f t="shared" si="38"/>
        <v>94</v>
      </c>
      <c r="AD35" s="24">
        <f>SUM(AD29:AD34)</f>
        <v>188</v>
      </c>
      <c r="AM35" s="14"/>
      <c r="AN35" s="14"/>
      <c r="AO35" s="14"/>
      <c r="AP35" s="14"/>
      <c r="AQ35" s="14"/>
      <c r="AR35" s="14"/>
      <c r="AS35" s="14"/>
      <c r="AT35" s="14"/>
    </row>
    <row r="36" spans="1:126" ht="19.350000000000001" customHeight="1" thickBot="1" x14ac:dyDescent="0.25">
      <c r="A36" s="8" t="s">
        <v>4</v>
      </c>
      <c r="B36" s="8">
        <f t="shared" si="29"/>
        <v>149.5</v>
      </c>
      <c r="C36" s="9">
        <f>$C40-(C7+A17+A27+A35)+C38</f>
        <v>299</v>
      </c>
      <c r="D36" s="8" t="s">
        <v>4</v>
      </c>
      <c r="E36" s="32"/>
      <c r="F36" s="9">
        <f>$F40-(F7+D17+D27+D35)+F38</f>
        <v>291</v>
      </c>
      <c r="G36" s="8" t="s">
        <v>4</v>
      </c>
      <c r="H36" s="32"/>
      <c r="I36" s="9">
        <f>$I40-(I7+G17+G27+G35)+I38</f>
        <v>299</v>
      </c>
      <c r="J36" s="8" t="s">
        <v>4</v>
      </c>
      <c r="K36" s="32"/>
      <c r="L36" s="9">
        <f>$L40-(L7+J17+J27+J35)+L38</f>
        <v>272</v>
      </c>
      <c r="M36" s="8" t="s">
        <v>4</v>
      </c>
      <c r="N36" s="32"/>
      <c r="O36" s="9">
        <f>$O40-(O7+M17+M27+M35)+O38</f>
        <v>275</v>
      </c>
      <c r="P36" s="8" t="s">
        <v>4</v>
      </c>
      <c r="Q36" s="32"/>
      <c r="R36" s="9">
        <f>$R40-(R7+P17+P27+P35)+R38</f>
        <v>296</v>
      </c>
      <c r="S36" s="8" t="s">
        <v>4</v>
      </c>
      <c r="T36" s="32"/>
      <c r="U36" s="9">
        <f>$U40-(U7+S17+S27+S35)+U38</f>
        <v>307</v>
      </c>
      <c r="V36" s="8" t="s">
        <v>4</v>
      </c>
      <c r="W36" s="32"/>
      <c r="X36" s="9">
        <f>$X40-(X7+V17+V27+V35)+X38</f>
        <v>290</v>
      </c>
      <c r="Y36" s="8" t="s">
        <v>4</v>
      </c>
      <c r="Z36" s="32"/>
      <c r="AA36" s="9">
        <f>$AA40-(AA7+Y17+Y27+Y35)+AA38</f>
        <v>302</v>
      </c>
      <c r="AB36" s="8" t="s">
        <v>4</v>
      </c>
      <c r="AC36" s="32"/>
      <c r="AD36" s="9">
        <f>$AD40-(AD7+AB17+AB27+AB35)+AD38</f>
        <v>302</v>
      </c>
      <c r="AM36" s="14"/>
      <c r="AN36" s="14"/>
      <c r="AO36" s="14"/>
      <c r="AP36" s="14"/>
      <c r="AQ36" s="14"/>
      <c r="AR36" s="14"/>
      <c r="AS36" s="14"/>
      <c r="AT36" s="14"/>
    </row>
    <row r="37" spans="1:126" ht="19.350000000000001" customHeight="1" thickBot="1" x14ac:dyDescent="0.25">
      <c r="A37" s="6"/>
      <c r="B37" s="33"/>
      <c r="C37" s="7"/>
      <c r="D37" s="6"/>
      <c r="E37" s="33"/>
      <c r="F37" s="7"/>
      <c r="G37" s="6"/>
      <c r="H37" s="33"/>
      <c r="I37" s="7"/>
      <c r="J37" s="6"/>
      <c r="K37" s="33"/>
      <c r="L37" s="7"/>
      <c r="M37" s="6"/>
      <c r="N37" s="33"/>
      <c r="O37" s="7"/>
      <c r="P37" s="6"/>
      <c r="Q37" s="33"/>
      <c r="R37" s="7"/>
      <c r="S37" s="6"/>
      <c r="T37" s="33"/>
      <c r="U37" s="7"/>
      <c r="V37" s="6"/>
      <c r="W37" s="33"/>
      <c r="X37" s="7"/>
      <c r="Y37" s="6"/>
      <c r="Z37" s="33"/>
      <c r="AA37" s="7"/>
      <c r="AB37" s="6"/>
      <c r="AC37" s="33"/>
      <c r="AD37" s="7"/>
      <c r="AM37" s="14"/>
      <c r="AN37" s="14"/>
      <c r="AO37" s="14"/>
      <c r="AP37" s="14"/>
      <c r="AQ37" s="14"/>
      <c r="AR37" s="14"/>
      <c r="AS37" s="14"/>
      <c r="AT37" s="14"/>
    </row>
    <row r="38" spans="1:126" ht="19.350000000000001" customHeight="1" thickBot="1" x14ac:dyDescent="0.25">
      <c r="A38" s="8" t="s">
        <v>16</v>
      </c>
      <c r="B38" s="32"/>
      <c r="C38" s="9"/>
      <c r="D38" s="8" t="s">
        <v>16</v>
      </c>
      <c r="E38" s="32"/>
      <c r="F38" s="9"/>
      <c r="G38" s="8" t="s">
        <v>16</v>
      </c>
      <c r="H38" s="32"/>
      <c r="I38" s="9"/>
      <c r="J38" s="8" t="s">
        <v>16</v>
      </c>
      <c r="K38" s="32"/>
      <c r="L38" s="9"/>
      <c r="M38" s="8" t="s">
        <v>16</v>
      </c>
      <c r="N38" s="32"/>
      <c r="O38" s="9"/>
      <c r="P38" s="8" t="s">
        <v>16</v>
      </c>
      <c r="Q38" s="32"/>
      <c r="R38" s="9"/>
      <c r="S38" s="8" t="s">
        <v>16</v>
      </c>
      <c r="T38" s="32"/>
      <c r="U38" s="9"/>
      <c r="V38" s="8" t="s">
        <v>16</v>
      </c>
      <c r="W38" s="32"/>
      <c r="X38" s="9"/>
      <c r="Y38" s="8" t="s">
        <v>16</v>
      </c>
      <c r="Z38" s="32"/>
      <c r="AA38" s="9"/>
      <c r="AB38" s="8" t="s">
        <v>16</v>
      </c>
      <c r="AC38" s="32"/>
      <c r="AD38" s="9"/>
      <c r="AM38" s="14"/>
      <c r="AN38" s="14"/>
      <c r="AO38" s="14"/>
      <c r="AP38" s="14"/>
      <c r="AQ38" s="14"/>
      <c r="AR38" s="14"/>
      <c r="AS38" s="14"/>
      <c r="AT38" s="14"/>
    </row>
    <row r="39" spans="1:126" ht="19.350000000000001" customHeight="1" thickBot="1" x14ac:dyDescent="0.25">
      <c r="A39" s="6"/>
      <c r="B39" s="33"/>
      <c r="C39" s="7"/>
      <c r="D39" s="6"/>
      <c r="E39" s="33"/>
      <c r="F39" s="7"/>
      <c r="G39" s="6"/>
      <c r="H39" s="33"/>
      <c r="I39" s="7"/>
      <c r="J39" s="6"/>
      <c r="K39" s="33"/>
      <c r="L39" s="7"/>
      <c r="M39" s="6"/>
      <c r="N39" s="33"/>
      <c r="O39" s="7"/>
      <c r="P39" s="6"/>
      <c r="Q39" s="33"/>
      <c r="R39" s="7"/>
      <c r="S39" s="6"/>
      <c r="T39" s="33"/>
      <c r="U39" s="7"/>
      <c r="V39" s="6"/>
      <c r="W39" s="33"/>
      <c r="X39" s="7"/>
      <c r="Y39" s="6"/>
      <c r="Z39" s="33"/>
      <c r="AA39" s="7"/>
      <c r="AB39" s="6"/>
      <c r="AC39" s="33"/>
      <c r="AD39" s="7"/>
      <c r="AM39" s="14"/>
      <c r="AN39" s="14"/>
      <c r="AO39" s="14"/>
      <c r="AP39" s="14"/>
      <c r="AQ39" s="14"/>
      <c r="AR39" s="14"/>
      <c r="AS39" s="14"/>
      <c r="AT39" s="14"/>
    </row>
    <row r="40" spans="1:126" s="1" customFormat="1" ht="13.5" thickBot="1" x14ac:dyDescent="0.25">
      <c r="A40" s="10" t="s">
        <v>5</v>
      </c>
      <c r="B40" s="31">
        <f t="shared" ref="B40" si="39">0.5*C40</f>
        <v>150</v>
      </c>
      <c r="C40" s="11">
        <v>300</v>
      </c>
      <c r="D40" s="10" t="s">
        <v>5</v>
      </c>
      <c r="E40" s="34"/>
      <c r="F40" s="11">
        <v>311</v>
      </c>
      <c r="G40" s="10" t="s">
        <v>5</v>
      </c>
      <c r="H40" s="34"/>
      <c r="I40" s="11">
        <v>302</v>
      </c>
      <c r="J40" s="10" t="s">
        <v>5</v>
      </c>
      <c r="K40" s="34"/>
      <c r="L40" s="11">
        <v>301</v>
      </c>
      <c r="M40" s="10" t="s">
        <v>5</v>
      </c>
      <c r="N40" s="34"/>
      <c r="O40" s="11">
        <v>313</v>
      </c>
      <c r="P40" s="10" t="s">
        <v>5</v>
      </c>
      <c r="Q40" s="34"/>
      <c r="R40" s="11">
        <v>311</v>
      </c>
      <c r="S40" s="10" t="s">
        <v>5</v>
      </c>
      <c r="T40" s="34"/>
      <c r="U40" s="11">
        <v>310</v>
      </c>
      <c r="V40" s="10" t="s">
        <v>5</v>
      </c>
      <c r="W40" s="34"/>
      <c r="X40" s="11">
        <v>301</v>
      </c>
      <c r="Y40" s="10" t="s">
        <v>5</v>
      </c>
      <c r="Z40" s="34"/>
      <c r="AA40" s="11">
        <v>311</v>
      </c>
      <c r="AB40" s="12" t="s">
        <v>5</v>
      </c>
      <c r="AC40" s="34"/>
      <c r="AD40" s="11">
        <v>318</v>
      </c>
      <c r="AE40" s="5"/>
      <c r="AF40" s="5"/>
      <c r="AG40" s="5"/>
      <c r="AH40" s="5"/>
      <c r="AI40" s="5"/>
      <c r="AJ40" s="5"/>
      <c r="AK40" s="5"/>
      <c r="AL40" s="5"/>
      <c r="AM40" s="15"/>
      <c r="AN40" s="15"/>
      <c r="AO40" s="15"/>
      <c r="AP40" s="15"/>
      <c r="AQ40" s="15"/>
      <c r="AR40" s="15"/>
      <c r="AS40" s="15"/>
      <c r="AT40" s="1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4"/>
    </row>
    <row r="44" spans="1:126" x14ac:dyDescent="0.2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126" x14ac:dyDescent="0.2"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126" x14ac:dyDescent="0.2"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126" x14ac:dyDescent="0.2"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126" x14ac:dyDescent="0.2"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3:23" x14ac:dyDescent="0.2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3:23" x14ac:dyDescent="0.2"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3:23" x14ac:dyDescent="0.2"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3:23" x14ac:dyDescent="0.2"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3:23" x14ac:dyDescent="0.2"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3:23" x14ac:dyDescent="0.2"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3:23" x14ac:dyDescent="0.2"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3:23" x14ac:dyDescent="0.2"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spans="3:23" x14ac:dyDescent="0.2"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spans="3:23" x14ac:dyDescent="0.2"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spans="3:23" x14ac:dyDescent="0.2"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spans="3:23" x14ac:dyDescent="0.2"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spans="3:23" x14ac:dyDescent="0.2"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spans="3:23" x14ac:dyDescent="0.2"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spans="3:23" x14ac:dyDescent="0.2"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</row>
    <row r="64" spans="3:23" x14ac:dyDescent="0.2"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spans="3:23" x14ac:dyDescent="0.2"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spans="3:23" x14ac:dyDescent="0.2"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3:23" x14ac:dyDescent="0.2"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3:23" x14ac:dyDescent="0.2"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3:23" x14ac:dyDescent="0.2"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3:23" x14ac:dyDescent="0.2"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3:23" x14ac:dyDescent="0.2"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3:23" x14ac:dyDescent="0.2"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3:23" x14ac:dyDescent="0.2"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3:23" x14ac:dyDescent="0.2"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3:23" x14ac:dyDescent="0.2"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3:23" x14ac:dyDescent="0.2"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3:23" x14ac:dyDescent="0.2"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3:23" x14ac:dyDescent="0.2"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3:23" x14ac:dyDescent="0.2"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3:23" x14ac:dyDescent="0.2"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3:23" x14ac:dyDescent="0.2"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3:23" x14ac:dyDescent="0.2"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3:23" x14ac:dyDescent="0.2"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</sheetData>
  <mergeCells count="51">
    <mergeCell ref="V2:X2"/>
    <mergeCell ref="A3:C3"/>
    <mergeCell ref="D3:F3"/>
    <mergeCell ref="G3:I3"/>
    <mergeCell ref="J3:L3"/>
    <mergeCell ref="M3:O3"/>
    <mergeCell ref="P3:R3"/>
    <mergeCell ref="S3:U3"/>
    <mergeCell ref="V3:X3"/>
    <mergeCell ref="A2:C2"/>
    <mergeCell ref="D2:F2"/>
    <mergeCell ref="G2:I2"/>
    <mergeCell ref="J2:L2"/>
    <mergeCell ref="M2:O2"/>
    <mergeCell ref="P2:R2"/>
    <mergeCell ref="S2:U2"/>
    <mergeCell ref="P18:R18"/>
    <mergeCell ref="S18:U18"/>
    <mergeCell ref="V18:X18"/>
    <mergeCell ref="A8:C8"/>
    <mergeCell ref="D8:F8"/>
    <mergeCell ref="G8:I8"/>
    <mergeCell ref="J8:L8"/>
    <mergeCell ref="M8:O8"/>
    <mergeCell ref="P8:R8"/>
    <mergeCell ref="A18:C18"/>
    <mergeCell ref="D18:F18"/>
    <mergeCell ref="G18:I18"/>
    <mergeCell ref="J18:L18"/>
    <mergeCell ref="M18:O18"/>
    <mergeCell ref="D28:F28"/>
    <mergeCell ref="G28:I28"/>
    <mergeCell ref="J28:L28"/>
    <mergeCell ref="M28:O28"/>
    <mergeCell ref="P28:R28"/>
    <mergeCell ref="Y18:AA18"/>
    <mergeCell ref="AB18:AD18"/>
    <mergeCell ref="Y28:AA28"/>
    <mergeCell ref="AB28:AD28"/>
    <mergeCell ref="A1:AD1"/>
    <mergeCell ref="Y2:AA2"/>
    <mergeCell ref="AB2:AD2"/>
    <mergeCell ref="Y3:AA3"/>
    <mergeCell ref="AB3:AD3"/>
    <mergeCell ref="Y8:AA8"/>
    <mergeCell ref="AB8:AD8"/>
    <mergeCell ref="S8:U8"/>
    <mergeCell ref="V8:X8"/>
    <mergeCell ref="S28:U28"/>
    <mergeCell ref="V28:X28"/>
    <mergeCell ref="A28:C28"/>
  </mergeCells>
  <pageMargins left="0" right="0" top="0.39409448818897608" bottom="0.39409448818897608" header="0" footer="0"/>
  <pageSetup paperSize="9" fitToWidth="0" fitToHeight="0"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4"/>
  <sheetViews>
    <sheetView tabSelected="1" zoomScale="110" zoomScaleNormal="110" workbookViewId="0">
      <pane ySplit="1" topLeftCell="A2" activePane="bottomLeft" state="frozen"/>
      <selection activeCell="B1" sqref="B1"/>
      <selection pane="bottomLeft" activeCell="K46" sqref="K46"/>
    </sheetView>
  </sheetViews>
  <sheetFormatPr defaultColWidth="8.875" defaultRowHeight="14.25" x14ac:dyDescent="0.2"/>
  <cols>
    <col min="1" max="1" width="12.125" style="41" bestFit="1" customWidth="1"/>
    <col min="2" max="2" width="11" style="41" bestFit="1" customWidth="1"/>
    <col min="3" max="3" width="8.5" style="41" customWidth="1"/>
    <col min="4" max="4" width="10.625" style="41" bestFit="1" customWidth="1"/>
    <col min="5" max="5" width="8.875" style="41"/>
    <col min="6" max="6" width="10.625" style="41" bestFit="1" customWidth="1"/>
    <col min="7" max="7" width="9.625" style="41" customWidth="1"/>
    <col min="8" max="8" width="10.625" style="41" bestFit="1" customWidth="1"/>
    <col min="9" max="9" width="8.875" style="41"/>
    <col min="10" max="10" width="10.625" style="41" bestFit="1" customWidth="1"/>
    <col min="11" max="11" width="8.875" style="41"/>
    <col min="12" max="12" width="10.625" style="41" bestFit="1" customWidth="1"/>
    <col min="13" max="13" width="8.875" style="41"/>
    <col min="14" max="14" width="10.625" style="41" bestFit="1" customWidth="1"/>
    <col min="15" max="15" width="8.875" style="41"/>
    <col min="16" max="16" width="10.625" style="41" bestFit="1" customWidth="1"/>
    <col min="17" max="17" width="8.875" style="41"/>
    <col min="18" max="18" width="10.625" style="41" bestFit="1" customWidth="1"/>
    <col min="19" max="19" width="8.875" style="41"/>
    <col min="20" max="20" width="10.625" style="41" bestFit="1" customWidth="1"/>
    <col min="21" max="16384" width="8.875" style="41"/>
  </cols>
  <sheetData>
    <row r="1" spans="1:21" ht="13.7" customHeight="1" thickBot="1" x14ac:dyDescent="0.3">
      <c r="A1" s="48" t="s">
        <v>268</v>
      </c>
      <c r="B1" s="375" t="s">
        <v>312</v>
      </c>
      <c r="C1" s="375"/>
      <c r="D1" s="376" t="s">
        <v>7</v>
      </c>
      <c r="E1" s="376"/>
      <c r="F1" s="377" t="s">
        <v>304</v>
      </c>
      <c r="G1" s="377"/>
      <c r="H1" s="378" t="s">
        <v>9</v>
      </c>
      <c r="I1" s="378"/>
      <c r="J1" s="379" t="s">
        <v>10</v>
      </c>
      <c r="K1" s="379"/>
      <c r="L1" s="380" t="s">
        <v>267</v>
      </c>
      <c r="M1" s="380"/>
      <c r="N1" s="371" t="s">
        <v>313</v>
      </c>
      <c r="O1" s="371"/>
      <c r="P1" s="372" t="s">
        <v>272</v>
      </c>
      <c r="Q1" s="372"/>
      <c r="R1" s="373" t="s">
        <v>273</v>
      </c>
      <c r="S1" s="373"/>
      <c r="T1" s="374" t="s">
        <v>13</v>
      </c>
      <c r="U1" s="374"/>
    </row>
    <row r="2" spans="1:21" ht="15.75" thickBot="1" x14ac:dyDescent="0.3">
      <c r="A2" s="49"/>
      <c r="B2" s="53" t="s">
        <v>269</v>
      </c>
      <c r="C2" s="54" t="s">
        <v>270</v>
      </c>
      <c r="D2" s="55" t="s">
        <v>269</v>
      </c>
      <c r="E2" s="54" t="s">
        <v>270</v>
      </c>
      <c r="F2" s="55" t="s">
        <v>269</v>
      </c>
      <c r="G2" s="54" t="s">
        <v>270</v>
      </c>
      <c r="H2" s="55" t="s">
        <v>269</v>
      </c>
      <c r="I2" s="54" t="s">
        <v>270</v>
      </c>
      <c r="J2" s="55" t="s">
        <v>269</v>
      </c>
      <c r="K2" s="54" t="s">
        <v>270</v>
      </c>
      <c r="L2" s="55" t="s">
        <v>269</v>
      </c>
      <c r="M2" s="54" t="s">
        <v>270</v>
      </c>
      <c r="N2" s="55" t="s">
        <v>269</v>
      </c>
      <c r="O2" s="54" t="s">
        <v>270</v>
      </c>
      <c r="P2" s="55" t="s">
        <v>269</v>
      </c>
      <c r="Q2" s="54" t="s">
        <v>270</v>
      </c>
      <c r="R2" s="55" t="s">
        <v>269</v>
      </c>
      <c r="S2" s="54" t="s">
        <v>270</v>
      </c>
      <c r="T2" s="55" t="s">
        <v>269</v>
      </c>
      <c r="U2" s="54" t="s">
        <v>270</v>
      </c>
    </row>
    <row r="3" spans="1:21" x14ac:dyDescent="0.2">
      <c r="A3" s="50">
        <v>1</v>
      </c>
      <c r="B3" s="101">
        <v>1</v>
      </c>
      <c r="C3" s="52">
        <v>31.5</v>
      </c>
      <c r="D3" s="104">
        <v>6.5</v>
      </c>
      <c r="E3" s="52">
        <v>49.5</v>
      </c>
      <c r="F3" s="104">
        <v>0.5</v>
      </c>
      <c r="G3" s="52">
        <v>46</v>
      </c>
      <c r="H3" s="143">
        <v>-0.5</v>
      </c>
      <c r="I3" s="52">
        <v>46.5</v>
      </c>
      <c r="J3" s="104">
        <v>-3</v>
      </c>
      <c r="K3" s="52">
        <v>26.5</v>
      </c>
      <c r="L3" s="104">
        <v>0</v>
      </c>
      <c r="M3" s="52">
        <v>17</v>
      </c>
      <c r="N3" s="104">
        <v>0.5</v>
      </c>
      <c r="O3" s="52">
        <v>50.5</v>
      </c>
      <c r="P3" s="104">
        <v>0</v>
      </c>
      <c r="Q3" s="52">
        <v>55</v>
      </c>
      <c r="R3" s="143">
        <v>-3</v>
      </c>
      <c r="S3" s="45">
        <v>20</v>
      </c>
      <c r="T3" s="104">
        <v>5</v>
      </c>
      <c r="U3" s="52">
        <v>84</v>
      </c>
    </row>
    <row r="4" spans="1:21" x14ac:dyDescent="0.2">
      <c r="A4" s="50">
        <v>2</v>
      </c>
      <c r="B4" s="102">
        <v>-0.5</v>
      </c>
      <c r="C4" s="45">
        <v>24</v>
      </c>
      <c r="D4" s="143">
        <v>-0.5</v>
      </c>
      <c r="E4" s="45">
        <v>33.5</v>
      </c>
      <c r="F4" s="143">
        <v>-1</v>
      </c>
      <c r="G4" s="45">
        <v>40.5</v>
      </c>
      <c r="H4" s="143">
        <v>6</v>
      </c>
      <c r="I4" s="45">
        <v>47</v>
      </c>
      <c r="J4" s="143">
        <v>-3</v>
      </c>
      <c r="K4" s="45">
        <v>25.5</v>
      </c>
      <c r="L4" s="143">
        <v>0</v>
      </c>
      <c r="M4" s="45">
        <v>28.5</v>
      </c>
      <c r="N4" s="143">
        <v>2</v>
      </c>
      <c r="O4" s="45">
        <v>50.5</v>
      </c>
      <c r="P4" s="143">
        <v>-2.5</v>
      </c>
      <c r="Q4" s="45">
        <v>58.5</v>
      </c>
      <c r="R4" s="143">
        <v>0</v>
      </c>
      <c r="S4" s="45">
        <v>10.5</v>
      </c>
      <c r="T4" s="143">
        <v>6.5</v>
      </c>
      <c r="U4" s="45">
        <v>104.5</v>
      </c>
    </row>
    <row r="5" spans="1:21" x14ac:dyDescent="0.2">
      <c r="A5" s="50">
        <v>3</v>
      </c>
      <c r="B5" s="102">
        <v>0.5</v>
      </c>
      <c r="C5" s="45">
        <v>49</v>
      </c>
      <c r="D5" s="143">
        <v>0</v>
      </c>
      <c r="E5" s="45">
        <v>11.5</v>
      </c>
      <c r="F5" s="143">
        <v>1.5</v>
      </c>
      <c r="G5" s="45">
        <v>67.5</v>
      </c>
      <c r="H5" s="143">
        <v>0</v>
      </c>
      <c r="I5" s="45">
        <v>49</v>
      </c>
      <c r="J5" s="143">
        <v>1</v>
      </c>
      <c r="K5" s="45">
        <v>18.5</v>
      </c>
      <c r="L5" s="143">
        <v>0</v>
      </c>
      <c r="M5" s="45">
        <v>17</v>
      </c>
      <c r="N5" s="143">
        <v>4</v>
      </c>
      <c r="O5" s="45">
        <v>52.5</v>
      </c>
      <c r="P5" s="143">
        <v>3</v>
      </c>
      <c r="Q5" s="45">
        <v>51.5</v>
      </c>
      <c r="R5" s="143">
        <v>0</v>
      </c>
      <c r="S5" s="45">
        <v>5.5</v>
      </c>
      <c r="T5" s="143">
        <v>-1</v>
      </c>
      <c r="U5" s="45">
        <v>75</v>
      </c>
    </row>
    <row r="6" spans="1:21" x14ac:dyDescent="0.2">
      <c r="A6" s="50">
        <v>4</v>
      </c>
      <c r="B6" s="102">
        <v>-1</v>
      </c>
      <c r="C6" s="45">
        <v>64</v>
      </c>
      <c r="D6" s="143">
        <v>0.5</v>
      </c>
      <c r="E6" s="45">
        <v>61</v>
      </c>
      <c r="F6" s="143">
        <v>-2.5</v>
      </c>
      <c r="G6" s="45">
        <v>38.5</v>
      </c>
      <c r="H6" s="143">
        <v>0.5</v>
      </c>
      <c r="I6" s="45">
        <v>56</v>
      </c>
      <c r="J6" s="143">
        <v>-0.5</v>
      </c>
      <c r="K6" s="45">
        <v>23.5</v>
      </c>
      <c r="L6" s="143">
        <v>-1</v>
      </c>
      <c r="M6" s="45">
        <v>47.5</v>
      </c>
      <c r="N6" s="143">
        <v>-1.5</v>
      </c>
      <c r="O6" s="45">
        <v>59</v>
      </c>
      <c r="P6" s="143">
        <v>0</v>
      </c>
      <c r="Q6" s="45">
        <v>52</v>
      </c>
      <c r="R6" s="143">
        <v>0</v>
      </c>
      <c r="S6" s="45">
        <v>36.5</v>
      </c>
      <c r="T6" s="143">
        <v>3</v>
      </c>
      <c r="U6" s="45">
        <v>58.5</v>
      </c>
    </row>
    <row r="7" spans="1:21" x14ac:dyDescent="0.2">
      <c r="A7" s="50">
        <v>5</v>
      </c>
      <c r="B7" s="102">
        <v>3</v>
      </c>
      <c r="C7" s="45">
        <v>52</v>
      </c>
      <c r="D7" s="143">
        <v>0</v>
      </c>
      <c r="E7" s="45">
        <v>34.5</v>
      </c>
      <c r="F7" s="143">
        <v>4</v>
      </c>
      <c r="G7" s="45">
        <v>73</v>
      </c>
      <c r="H7" s="143">
        <v>-1</v>
      </c>
      <c r="I7" s="45">
        <v>28.5</v>
      </c>
      <c r="J7" s="143">
        <v>0</v>
      </c>
      <c r="K7" s="45">
        <v>16.5</v>
      </c>
      <c r="L7" s="143">
        <v>1.5</v>
      </c>
      <c r="M7" s="45">
        <v>48</v>
      </c>
      <c r="N7" s="143">
        <v>-2</v>
      </c>
      <c r="O7" s="45">
        <v>55.5</v>
      </c>
      <c r="P7" s="143">
        <v>1</v>
      </c>
      <c r="Q7" s="45">
        <v>39</v>
      </c>
      <c r="R7" s="143">
        <v>-2</v>
      </c>
      <c r="S7" s="45">
        <v>38.5</v>
      </c>
      <c r="T7" s="143">
        <v>0</v>
      </c>
      <c r="U7" s="45">
        <v>85.5</v>
      </c>
    </row>
    <row r="8" spans="1:21" x14ac:dyDescent="0.2">
      <c r="A8" s="50">
        <v>6</v>
      </c>
      <c r="B8" s="102">
        <v>5.5</v>
      </c>
      <c r="C8" s="45">
        <v>53.5</v>
      </c>
      <c r="D8" s="143">
        <v>6</v>
      </c>
      <c r="E8" s="45">
        <v>48.5</v>
      </c>
      <c r="F8" s="143">
        <v>0</v>
      </c>
      <c r="G8" s="45">
        <v>57</v>
      </c>
      <c r="H8" s="143">
        <v>-0.5</v>
      </c>
      <c r="I8" s="45">
        <v>28</v>
      </c>
      <c r="J8" s="143">
        <v>0</v>
      </c>
      <c r="K8" s="45">
        <v>11.5</v>
      </c>
      <c r="L8" s="143">
        <v>0</v>
      </c>
      <c r="M8" s="45">
        <v>58.5</v>
      </c>
      <c r="N8" s="143">
        <v>9</v>
      </c>
      <c r="O8" s="45">
        <v>53.5</v>
      </c>
      <c r="P8" s="143">
        <v>-1</v>
      </c>
      <c r="Q8" s="45">
        <v>58</v>
      </c>
      <c r="R8" s="143">
        <v>0</v>
      </c>
      <c r="S8" s="45">
        <v>36</v>
      </c>
      <c r="T8" s="143">
        <v>14</v>
      </c>
      <c r="U8" s="45">
        <v>100</v>
      </c>
    </row>
    <row r="9" spans="1:21" x14ac:dyDescent="0.2">
      <c r="A9" s="50">
        <v>7</v>
      </c>
      <c r="B9" s="102">
        <v>-0.5</v>
      </c>
      <c r="C9" s="45">
        <v>47.5</v>
      </c>
      <c r="D9" s="143">
        <v>-0.5</v>
      </c>
      <c r="E9" s="45">
        <v>57.5</v>
      </c>
      <c r="F9" s="143">
        <v>4.5</v>
      </c>
      <c r="G9" s="45">
        <v>60</v>
      </c>
      <c r="H9" s="143">
        <v>5</v>
      </c>
      <c r="I9" s="45">
        <v>30</v>
      </c>
      <c r="J9" s="143">
        <v>-0.5</v>
      </c>
      <c r="K9" s="45">
        <v>11.5</v>
      </c>
      <c r="L9" s="143">
        <v>3.5</v>
      </c>
      <c r="M9" s="45">
        <v>57</v>
      </c>
      <c r="N9" s="143">
        <v>-1</v>
      </c>
      <c r="O9" s="45">
        <v>35.5</v>
      </c>
      <c r="P9" s="143">
        <v>0.5</v>
      </c>
      <c r="Q9" s="45">
        <v>59.5</v>
      </c>
      <c r="R9" s="143">
        <v>-0.5</v>
      </c>
      <c r="S9" s="45">
        <v>40</v>
      </c>
      <c r="T9" s="143">
        <v>4</v>
      </c>
      <c r="U9" s="45">
        <v>97.5</v>
      </c>
    </row>
    <row r="10" spans="1:21" x14ac:dyDescent="0.2">
      <c r="A10" s="50">
        <v>8</v>
      </c>
      <c r="B10" s="102">
        <v>0</v>
      </c>
      <c r="C10" s="45">
        <v>49</v>
      </c>
      <c r="D10" s="143">
        <v>3.5</v>
      </c>
      <c r="E10" s="45">
        <v>68</v>
      </c>
      <c r="F10" s="143">
        <v>4</v>
      </c>
      <c r="G10" s="45">
        <v>54.5</v>
      </c>
      <c r="H10" s="143">
        <v>10.5</v>
      </c>
      <c r="I10" s="45">
        <v>37.5</v>
      </c>
      <c r="J10" s="143">
        <v>0</v>
      </c>
      <c r="K10" s="45">
        <v>41</v>
      </c>
      <c r="L10" s="143">
        <v>0.5</v>
      </c>
      <c r="M10" s="45">
        <v>67.5</v>
      </c>
      <c r="N10" s="143">
        <v>0</v>
      </c>
      <c r="O10" s="45">
        <v>46.5</v>
      </c>
      <c r="P10" s="143">
        <v>-2.5</v>
      </c>
      <c r="Q10" s="45">
        <v>65</v>
      </c>
      <c r="R10" s="143">
        <v>7</v>
      </c>
      <c r="S10" s="45">
        <v>35</v>
      </c>
      <c r="T10" s="143">
        <v>8</v>
      </c>
      <c r="U10" s="45">
        <v>88</v>
      </c>
    </row>
    <row r="11" spans="1:21" x14ac:dyDescent="0.2">
      <c r="A11" s="50">
        <v>9</v>
      </c>
      <c r="B11" s="102">
        <v>4</v>
      </c>
      <c r="C11" s="45">
        <v>61</v>
      </c>
      <c r="D11" s="143">
        <v>4.5</v>
      </c>
      <c r="E11" s="45">
        <v>54.5</v>
      </c>
      <c r="F11" s="143">
        <v>-1</v>
      </c>
      <c r="G11" s="45">
        <v>23</v>
      </c>
      <c r="H11" s="143">
        <v>0</v>
      </c>
      <c r="I11" s="45">
        <v>30</v>
      </c>
      <c r="J11" s="143">
        <v>7.5</v>
      </c>
      <c r="K11" s="45">
        <v>57.5</v>
      </c>
      <c r="L11" s="143">
        <v>8.5</v>
      </c>
      <c r="M11" s="45">
        <v>73.5</v>
      </c>
      <c r="N11" s="143">
        <v>1</v>
      </c>
      <c r="O11" s="45">
        <v>30.5</v>
      </c>
      <c r="P11" s="143">
        <v>6.5</v>
      </c>
      <c r="Q11" s="45">
        <v>79.5</v>
      </c>
      <c r="R11" s="143">
        <v>3</v>
      </c>
      <c r="S11" s="45">
        <v>39.5</v>
      </c>
      <c r="T11" s="143">
        <v>-0.5</v>
      </c>
      <c r="U11" s="45">
        <v>56.5</v>
      </c>
    </row>
    <row r="12" spans="1:21" x14ac:dyDescent="0.2">
      <c r="A12" s="50">
        <v>10</v>
      </c>
      <c r="B12" s="102">
        <v>0.5</v>
      </c>
      <c r="C12" s="45">
        <v>61.5</v>
      </c>
      <c r="D12" s="143">
        <v>3.5</v>
      </c>
      <c r="E12" s="45">
        <v>57.5</v>
      </c>
      <c r="F12" s="143">
        <v>-2.5</v>
      </c>
      <c r="G12" s="45">
        <v>26.5</v>
      </c>
      <c r="H12" s="143">
        <v>2.5</v>
      </c>
      <c r="I12" s="45">
        <v>53</v>
      </c>
      <c r="J12" s="143">
        <v>4</v>
      </c>
      <c r="K12" s="45">
        <v>39.5</v>
      </c>
      <c r="L12" s="143">
        <v>3.5</v>
      </c>
      <c r="M12" s="45">
        <v>62.5</v>
      </c>
      <c r="N12" s="143">
        <v>3.5</v>
      </c>
      <c r="O12" s="45">
        <v>37.5</v>
      </c>
      <c r="P12" s="143">
        <v>1</v>
      </c>
      <c r="Q12" s="45">
        <v>61</v>
      </c>
      <c r="R12" s="143">
        <v>-1</v>
      </c>
      <c r="S12" s="45">
        <v>23</v>
      </c>
      <c r="T12" s="143">
        <v>0</v>
      </c>
      <c r="U12" s="45">
        <v>75</v>
      </c>
    </row>
    <row r="13" spans="1:21" x14ac:dyDescent="0.2">
      <c r="A13" s="50">
        <v>11</v>
      </c>
      <c r="B13" s="102">
        <v>0</v>
      </c>
      <c r="C13" s="45">
        <v>54</v>
      </c>
      <c r="D13" s="143">
        <v>1</v>
      </c>
      <c r="E13" s="45">
        <v>49</v>
      </c>
      <c r="F13" s="143">
        <v>1</v>
      </c>
      <c r="G13" s="45">
        <v>42</v>
      </c>
      <c r="H13" s="143">
        <v>0</v>
      </c>
      <c r="I13" s="45">
        <v>40</v>
      </c>
      <c r="J13" s="143">
        <v>7</v>
      </c>
      <c r="K13" s="45">
        <v>56</v>
      </c>
      <c r="L13" s="143">
        <v>13.5</v>
      </c>
      <c r="M13" s="45">
        <v>74</v>
      </c>
      <c r="N13" s="143">
        <v>0</v>
      </c>
      <c r="O13" s="45">
        <v>27.5</v>
      </c>
      <c r="P13" s="143">
        <v>5</v>
      </c>
      <c r="Q13" s="45">
        <v>58.5</v>
      </c>
      <c r="R13" s="143">
        <v>0.5</v>
      </c>
      <c r="S13" s="45">
        <v>19.5</v>
      </c>
      <c r="T13" s="143">
        <v>4.5</v>
      </c>
      <c r="U13" s="45">
        <v>83</v>
      </c>
    </row>
    <row r="14" spans="1:21" x14ac:dyDescent="0.2">
      <c r="A14" s="50">
        <v>12</v>
      </c>
      <c r="B14" s="102">
        <v>-0.5</v>
      </c>
      <c r="C14" s="45">
        <v>51.5</v>
      </c>
      <c r="D14" s="143">
        <v>1</v>
      </c>
      <c r="E14" s="45">
        <v>52.5</v>
      </c>
      <c r="F14" s="143">
        <v>-1</v>
      </c>
      <c r="G14" s="45">
        <v>36</v>
      </c>
      <c r="H14" s="143">
        <v>0</v>
      </c>
      <c r="I14" s="45">
        <v>17.5</v>
      </c>
      <c r="J14" s="143">
        <v>2.5</v>
      </c>
      <c r="K14" s="45">
        <v>46</v>
      </c>
      <c r="L14" s="143">
        <v>18</v>
      </c>
      <c r="M14" s="45">
        <v>85.5</v>
      </c>
      <c r="N14" s="143">
        <v>3.5</v>
      </c>
      <c r="O14" s="45">
        <v>29</v>
      </c>
      <c r="P14" s="143">
        <v>-2</v>
      </c>
      <c r="Q14" s="45">
        <v>39.5</v>
      </c>
      <c r="R14" s="143">
        <v>0</v>
      </c>
      <c r="S14" s="45">
        <v>23.5</v>
      </c>
      <c r="T14" s="143">
        <v>4</v>
      </c>
      <c r="U14" s="45">
        <v>95.5</v>
      </c>
    </row>
    <row r="15" spans="1:21" x14ac:dyDescent="0.2">
      <c r="A15" s="50">
        <v>13</v>
      </c>
      <c r="B15" s="102">
        <v>-0.5</v>
      </c>
      <c r="C15" s="45">
        <v>70</v>
      </c>
      <c r="D15" s="143">
        <v>-0.5</v>
      </c>
      <c r="E15" s="45">
        <v>71.5</v>
      </c>
      <c r="F15" s="143">
        <v>2.5</v>
      </c>
      <c r="G15" s="45">
        <v>57</v>
      </c>
      <c r="H15" s="143">
        <v>0</v>
      </c>
      <c r="I15" s="45">
        <v>59.5</v>
      </c>
      <c r="J15" s="143">
        <v>2</v>
      </c>
      <c r="K15" s="45">
        <v>63</v>
      </c>
      <c r="L15" s="143">
        <v>2</v>
      </c>
      <c r="M15" s="45">
        <v>92</v>
      </c>
      <c r="N15" s="143">
        <v>0</v>
      </c>
      <c r="O15" s="45">
        <v>36</v>
      </c>
      <c r="P15" s="143">
        <v>1.5</v>
      </c>
      <c r="Q15" s="45">
        <v>36.5</v>
      </c>
      <c r="R15" s="143">
        <v>-0.5</v>
      </c>
      <c r="S15" s="45">
        <v>66.5</v>
      </c>
      <c r="T15" s="143">
        <v>-2</v>
      </c>
      <c r="U15" s="45">
        <v>88.5</v>
      </c>
    </row>
    <row r="16" spans="1:21" x14ac:dyDescent="0.2">
      <c r="A16" s="50">
        <v>14</v>
      </c>
      <c r="B16" s="102">
        <v>-0.5</v>
      </c>
      <c r="C16" s="45">
        <v>34.5</v>
      </c>
      <c r="D16" s="143">
        <v>-1</v>
      </c>
      <c r="E16" s="45">
        <v>38.5</v>
      </c>
      <c r="F16" s="143">
        <v>-1</v>
      </c>
      <c r="G16" s="45">
        <v>32</v>
      </c>
      <c r="H16" s="143">
        <v>0.5</v>
      </c>
      <c r="I16" s="45">
        <v>35</v>
      </c>
      <c r="J16" s="143">
        <v>4</v>
      </c>
      <c r="K16" s="45">
        <v>28.5</v>
      </c>
      <c r="L16" s="143">
        <v>8</v>
      </c>
      <c r="M16" s="45">
        <v>81.5</v>
      </c>
      <c r="N16" s="143">
        <v>2</v>
      </c>
      <c r="O16" s="45">
        <v>49.5</v>
      </c>
      <c r="P16" s="143">
        <v>0</v>
      </c>
      <c r="Q16" s="45">
        <v>34.5</v>
      </c>
      <c r="R16" s="143">
        <v>-0.5</v>
      </c>
      <c r="S16" s="45">
        <v>16</v>
      </c>
      <c r="T16" s="143">
        <v>0.5</v>
      </c>
      <c r="U16" s="45">
        <v>69.5</v>
      </c>
    </row>
    <row r="17" spans="1:21" x14ac:dyDescent="0.2">
      <c r="A17" s="50">
        <v>15</v>
      </c>
      <c r="B17" s="102">
        <v>3.5</v>
      </c>
      <c r="C17" s="45">
        <v>39.5</v>
      </c>
      <c r="D17" s="143">
        <v>0</v>
      </c>
      <c r="E17" s="45">
        <v>52.5</v>
      </c>
      <c r="F17" s="143">
        <v>3.5</v>
      </c>
      <c r="G17" s="45">
        <v>45.5</v>
      </c>
      <c r="H17" s="143">
        <v>0</v>
      </c>
      <c r="I17" s="45">
        <v>54.5</v>
      </c>
      <c r="J17" s="143">
        <v>0</v>
      </c>
      <c r="K17" s="45">
        <v>23.5</v>
      </c>
      <c r="L17" s="143">
        <v>-0.5</v>
      </c>
      <c r="M17" s="45">
        <v>41.5</v>
      </c>
      <c r="N17" s="143">
        <v>0.5</v>
      </c>
      <c r="O17" s="45">
        <v>58.5</v>
      </c>
      <c r="P17" s="143">
        <v>5.5</v>
      </c>
      <c r="Q17" s="45">
        <v>45</v>
      </c>
      <c r="R17" s="143">
        <v>-0.5</v>
      </c>
      <c r="S17" s="45">
        <v>36.5</v>
      </c>
      <c r="T17" s="143">
        <v>2</v>
      </c>
      <c r="U17" s="45">
        <v>105</v>
      </c>
    </row>
    <row r="18" spans="1:21" x14ac:dyDescent="0.2">
      <c r="A18" s="50">
        <v>16</v>
      </c>
      <c r="B18" s="102">
        <v>0</v>
      </c>
      <c r="C18" s="45">
        <v>44.5</v>
      </c>
      <c r="D18" s="143">
        <v>8</v>
      </c>
      <c r="E18" s="45">
        <v>56</v>
      </c>
      <c r="F18" s="143">
        <v>4</v>
      </c>
      <c r="G18" s="45">
        <v>36.5</v>
      </c>
      <c r="H18" s="143">
        <v>4</v>
      </c>
      <c r="I18" s="45">
        <v>57</v>
      </c>
      <c r="J18" s="143">
        <v>-0.5</v>
      </c>
      <c r="K18" s="45">
        <v>17.5</v>
      </c>
      <c r="L18" s="143">
        <v>2</v>
      </c>
      <c r="M18" s="45">
        <v>62.5</v>
      </c>
      <c r="N18" s="143">
        <v>-0.5</v>
      </c>
      <c r="O18" s="45">
        <v>41</v>
      </c>
      <c r="P18" s="143">
        <v>0</v>
      </c>
      <c r="Q18" s="45">
        <v>51</v>
      </c>
      <c r="R18" s="143">
        <v>0</v>
      </c>
      <c r="S18" s="45">
        <v>28.5</v>
      </c>
      <c r="T18" s="143">
        <v>-0.5</v>
      </c>
      <c r="U18" s="45">
        <v>93</v>
      </c>
    </row>
    <row r="19" spans="1:21" x14ac:dyDescent="0.2">
      <c r="A19" s="50">
        <v>17</v>
      </c>
      <c r="B19" s="102">
        <v>-0.5</v>
      </c>
      <c r="C19" s="45">
        <v>39.5</v>
      </c>
      <c r="D19" s="143">
        <v>-1</v>
      </c>
      <c r="E19" s="45">
        <v>55.5</v>
      </c>
      <c r="F19" s="143">
        <v>3</v>
      </c>
      <c r="G19" s="45">
        <v>34.5</v>
      </c>
      <c r="H19" s="143">
        <v>3.5</v>
      </c>
      <c r="I19" s="45">
        <v>42</v>
      </c>
      <c r="J19" s="143">
        <v>0</v>
      </c>
      <c r="K19" s="45">
        <v>17</v>
      </c>
      <c r="L19" s="143">
        <v>6</v>
      </c>
      <c r="M19" s="45">
        <v>84</v>
      </c>
      <c r="N19" s="143">
        <v>3.5</v>
      </c>
      <c r="O19" s="45">
        <v>59.5</v>
      </c>
      <c r="P19" s="143">
        <v>1.5</v>
      </c>
      <c r="Q19" s="45">
        <v>32.5</v>
      </c>
      <c r="R19" s="143">
        <v>-1</v>
      </c>
      <c r="S19" s="45">
        <v>29</v>
      </c>
      <c r="T19" s="143">
        <v>-1</v>
      </c>
      <c r="U19" s="45">
        <v>69</v>
      </c>
    </row>
    <row r="20" spans="1:21" x14ac:dyDescent="0.2">
      <c r="A20" s="50">
        <v>18</v>
      </c>
      <c r="B20" s="102">
        <v>-0.5</v>
      </c>
      <c r="C20" s="45">
        <v>47</v>
      </c>
      <c r="D20" s="143">
        <v>-1</v>
      </c>
      <c r="E20" s="45">
        <v>46</v>
      </c>
      <c r="F20" s="143">
        <v>0.5</v>
      </c>
      <c r="G20" s="45">
        <v>46.5</v>
      </c>
      <c r="H20" s="143">
        <v>4</v>
      </c>
      <c r="I20" s="45">
        <v>58.5</v>
      </c>
      <c r="J20" s="143">
        <v>0</v>
      </c>
      <c r="K20" s="45">
        <v>16</v>
      </c>
      <c r="L20" s="143">
        <v>-0.5</v>
      </c>
      <c r="M20" s="45">
        <v>30</v>
      </c>
      <c r="N20" s="143">
        <v>0</v>
      </c>
      <c r="O20" s="45">
        <v>29</v>
      </c>
      <c r="P20" s="143">
        <v>-1</v>
      </c>
      <c r="Q20" s="45">
        <v>12.5</v>
      </c>
      <c r="R20" s="143">
        <v>-0.5</v>
      </c>
      <c r="S20" s="45">
        <v>27.5</v>
      </c>
      <c r="T20" s="143">
        <v>0.5</v>
      </c>
      <c r="U20" s="45">
        <v>74</v>
      </c>
    </row>
    <row r="21" spans="1:21" x14ac:dyDescent="0.2">
      <c r="A21" s="50">
        <v>19</v>
      </c>
      <c r="B21" s="102">
        <v>4</v>
      </c>
      <c r="C21" s="45">
        <v>53.5</v>
      </c>
      <c r="D21" s="143">
        <v>1</v>
      </c>
      <c r="E21" s="45">
        <v>55</v>
      </c>
      <c r="F21" s="143">
        <v>2</v>
      </c>
      <c r="G21" s="45">
        <v>36</v>
      </c>
      <c r="H21" s="143">
        <v>4.5</v>
      </c>
      <c r="I21" s="45">
        <v>48.5</v>
      </c>
      <c r="J21" s="143">
        <v>0</v>
      </c>
      <c r="K21" s="45">
        <v>12</v>
      </c>
      <c r="L21" s="143">
        <v>1</v>
      </c>
      <c r="M21" s="45">
        <v>60</v>
      </c>
      <c r="N21" s="143">
        <v>0</v>
      </c>
      <c r="O21" s="145">
        <v>27.5</v>
      </c>
      <c r="P21" s="143">
        <v>0</v>
      </c>
      <c r="Q21" s="45">
        <v>30.5</v>
      </c>
      <c r="R21" s="143">
        <v>-0.5</v>
      </c>
      <c r="S21" s="45">
        <v>26.5</v>
      </c>
      <c r="T21" s="143">
        <v>17.5</v>
      </c>
      <c r="U21" s="45">
        <v>101</v>
      </c>
    </row>
    <row r="22" spans="1:21" x14ac:dyDescent="0.2">
      <c r="A22" s="50">
        <v>20</v>
      </c>
      <c r="B22" s="102">
        <v>-0.5</v>
      </c>
      <c r="C22" s="45">
        <v>47</v>
      </c>
      <c r="D22" s="143">
        <v>-1.5</v>
      </c>
      <c r="E22" s="45">
        <v>50</v>
      </c>
      <c r="F22" s="143">
        <v>-2.5</v>
      </c>
      <c r="G22" s="45">
        <v>33.5</v>
      </c>
      <c r="H22" s="143">
        <v>-1</v>
      </c>
      <c r="I22" s="45">
        <v>44.5</v>
      </c>
      <c r="J22" s="143">
        <v>0</v>
      </c>
      <c r="K22" s="45">
        <v>11</v>
      </c>
      <c r="L22" s="143">
        <v>3.5</v>
      </c>
      <c r="M22" s="45">
        <v>69.5</v>
      </c>
      <c r="N22" s="143">
        <v>0</v>
      </c>
      <c r="O22" s="45">
        <v>34</v>
      </c>
      <c r="P22" s="143">
        <v>-0.5</v>
      </c>
      <c r="Q22" s="45">
        <v>28.5</v>
      </c>
      <c r="R22" s="143">
        <v>0</v>
      </c>
      <c r="S22" s="45">
        <v>12</v>
      </c>
      <c r="T22" s="143">
        <v>-2</v>
      </c>
      <c r="U22" s="45">
        <v>80.5</v>
      </c>
    </row>
    <row r="23" spans="1:21" x14ac:dyDescent="0.2">
      <c r="A23" s="50">
        <v>21</v>
      </c>
      <c r="B23" s="102">
        <v>-0.5</v>
      </c>
      <c r="C23" s="45">
        <v>28</v>
      </c>
      <c r="D23" s="143">
        <v>3</v>
      </c>
      <c r="E23" s="45">
        <v>56.5</v>
      </c>
      <c r="F23" s="143">
        <v>1.5</v>
      </c>
      <c r="G23" s="45">
        <v>51</v>
      </c>
      <c r="H23" s="143">
        <v>1</v>
      </c>
      <c r="I23" s="45">
        <v>43</v>
      </c>
      <c r="J23" s="143">
        <v>-0.5</v>
      </c>
      <c r="K23" s="45">
        <v>17</v>
      </c>
      <c r="L23" s="143">
        <v>0</v>
      </c>
      <c r="M23" s="45">
        <v>71.5</v>
      </c>
      <c r="N23" s="143">
        <v>1</v>
      </c>
      <c r="O23" s="45">
        <v>30</v>
      </c>
      <c r="P23" s="143">
        <v>3</v>
      </c>
      <c r="Q23" s="45">
        <v>34.5</v>
      </c>
      <c r="R23" s="143">
        <v>0</v>
      </c>
      <c r="S23" s="45">
        <v>35</v>
      </c>
      <c r="T23" s="143">
        <v>1</v>
      </c>
      <c r="U23" s="45">
        <v>101</v>
      </c>
    </row>
    <row r="24" spans="1:21" x14ac:dyDescent="0.2">
      <c r="A24" s="50">
        <v>22</v>
      </c>
      <c r="B24" s="102">
        <v>0.5</v>
      </c>
      <c r="C24" s="45">
        <v>59</v>
      </c>
      <c r="D24" s="143">
        <v>4</v>
      </c>
      <c r="E24" s="45">
        <v>65.5</v>
      </c>
      <c r="F24" s="143">
        <v>3</v>
      </c>
      <c r="G24" s="45">
        <v>107.5</v>
      </c>
      <c r="H24" s="143">
        <v>-0.5</v>
      </c>
      <c r="I24" s="45">
        <v>42</v>
      </c>
      <c r="J24" s="143">
        <v>-3</v>
      </c>
      <c r="K24" s="45">
        <v>36.5</v>
      </c>
      <c r="L24" s="143">
        <v>2.5</v>
      </c>
      <c r="M24" s="45">
        <v>87</v>
      </c>
      <c r="N24" s="143">
        <v>-1.5</v>
      </c>
      <c r="O24" s="45">
        <v>45.5</v>
      </c>
      <c r="P24" s="143">
        <v>4.5</v>
      </c>
      <c r="Q24" s="45">
        <v>36.5</v>
      </c>
      <c r="R24" s="143">
        <v>1</v>
      </c>
      <c r="S24" s="45">
        <v>55.5</v>
      </c>
      <c r="T24" s="143">
        <v>3</v>
      </c>
      <c r="U24" s="45">
        <v>99.5</v>
      </c>
    </row>
    <row r="25" spans="1:21" x14ac:dyDescent="0.2">
      <c r="A25" s="50">
        <v>23</v>
      </c>
      <c r="B25" s="102">
        <v>-0.5</v>
      </c>
      <c r="C25" s="45">
        <v>76.5</v>
      </c>
      <c r="D25" s="143">
        <v>-1.5</v>
      </c>
      <c r="E25" s="45">
        <v>51.5</v>
      </c>
      <c r="F25" s="143">
        <v>-1.5</v>
      </c>
      <c r="G25" s="45">
        <v>87.5</v>
      </c>
      <c r="H25" s="143">
        <v>4.5</v>
      </c>
      <c r="I25" s="45">
        <v>17.5</v>
      </c>
      <c r="J25" s="143">
        <v>-1</v>
      </c>
      <c r="K25" s="45">
        <v>45.5</v>
      </c>
      <c r="L25" s="143">
        <v>3</v>
      </c>
      <c r="M25" s="45">
        <v>62.5</v>
      </c>
      <c r="N25" s="143">
        <v>-1</v>
      </c>
      <c r="O25" s="45">
        <v>27.5</v>
      </c>
      <c r="P25" s="143">
        <v>-3</v>
      </c>
      <c r="Q25" s="45">
        <v>43.5</v>
      </c>
      <c r="R25" s="143">
        <v>1</v>
      </c>
      <c r="S25" s="45">
        <v>53.5</v>
      </c>
      <c r="T25" s="143">
        <v>15</v>
      </c>
      <c r="U25" s="45">
        <v>96</v>
      </c>
    </row>
    <row r="26" spans="1:21" x14ac:dyDescent="0.2">
      <c r="A26" s="50">
        <v>24</v>
      </c>
      <c r="B26" s="102">
        <v>10.5</v>
      </c>
      <c r="C26" s="45">
        <v>86</v>
      </c>
      <c r="D26" s="143">
        <v>1</v>
      </c>
      <c r="E26" s="45">
        <v>36.5</v>
      </c>
      <c r="F26" s="143">
        <v>2</v>
      </c>
      <c r="G26" s="45">
        <v>101</v>
      </c>
      <c r="H26" s="143">
        <v>4.5</v>
      </c>
      <c r="I26" s="45">
        <v>35</v>
      </c>
      <c r="J26" s="143">
        <v>-1</v>
      </c>
      <c r="K26" s="45">
        <v>59.5</v>
      </c>
      <c r="L26" s="143">
        <v>4</v>
      </c>
      <c r="M26" s="45">
        <v>57.5</v>
      </c>
      <c r="N26" s="143">
        <v>3.5</v>
      </c>
      <c r="O26" s="45">
        <v>46</v>
      </c>
      <c r="P26" s="143">
        <v>-2</v>
      </c>
      <c r="Q26" s="45">
        <v>45.5</v>
      </c>
      <c r="R26" s="143">
        <v>8</v>
      </c>
      <c r="S26" s="45">
        <v>92</v>
      </c>
      <c r="T26" s="143">
        <v>5</v>
      </c>
      <c r="U26" s="45">
        <v>71</v>
      </c>
    </row>
    <row r="27" spans="1:21" x14ac:dyDescent="0.2">
      <c r="A27" s="50">
        <v>25</v>
      </c>
      <c r="B27" s="102">
        <v>2.5</v>
      </c>
      <c r="C27" s="45">
        <v>55</v>
      </c>
      <c r="D27" s="143">
        <v>-0.5</v>
      </c>
      <c r="E27" s="45">
        <v>36</v>
      </c>
      <c r="F27" s="143">
        <v>-3</v>
      </c>
      <c r="G27" s="45">
        <v>96</v>
      </c>
      <c r="H27" s="143">
        <v>3.5</v>
      </c>
      <c r="I27" s="45">
        <v>40.5</v>
      </c>
      <c r="J27" s="143">
        <v>1</v>
      </c>
      <c r="K27" s="45">
        <v>12.5</v>
      </c>
      <c r="L27" s="143">
        <v>1.5</v>
      </c>
      <c r="M27" s="45">
        <v>57.5</v>
      </c>
      <c r="N27" s="143">
        <v>1</v>
      </c>
      <c r="O27" s="45">
        <v>36.5</v>
      </c>
      <c r="P27" s="143">
        <v>-1.5</v>
      </c>
      <c r="Q27" s="45">
        <v>44</v>
      </c>
      <c r="R27" s="143">
        <v>-0.5</v>
      </c>
      <c r="S27" s="45">
        <v>57.5</v>
      </c>
      <c r="T27" s="143">
        <v>3.5</v>
      </c>
      <c r="U27" s="45">
        <v>70.5</v>
      </c>
    </row>
    <row r="28" spans="1:21" x14ac:dyDescent="0.2">
      <c r="A28" s="50">
        <v>26</v>
      </c>
      <c r="B28" s="102">
        <v>5</v>
      </c>
      <c r="C28" s="45">
        <v>54</v>
      </c>
      <c r="D28" s="143">
        <v>3</v>
      </c>
      <c r="E28" s="45">
        <v>57</v>
      </c>
      <c r="F28" s="143">
        <v>6</v>
      </c>
      <c r="G28" s="45">
        <v>102.5</v>
      </c>
      <c r="H28" s="143">
        <v>0</v>
      </c>
      <c r="I28" s="45">
        <v>30.5</v>
      </c>
      <c r="J28" s="143">
        <v>3.5</v>
      </c>
      <c r="K28" s="45">
        <v>56.5</v>
      </c>
      <c r="L28" s="143">
        <v>8.5</v>
      </c>
      <c r="M28" s="45">
        <v>70.5</v>
      </c>
      <c r="N28" s="143">
        <v>-1</v>
      </c>
      <c r="O28" s="45">
        <v>40.5</v>
      </c>
      <c r="P28" s="143">
        <v>-2.5</v>
      </c>
      <c r="Q28" s="45">
        <v>50</v>
      </c>
      <c r="R28" s="143">
        <v>0</v>
      </c>
      <c r="S28" s="45">
        <v>47.5</v>
      </c>
      <c r="T28" s="143">
        <v>1</v>
      </c>
      <c r="U28" s="45">
        <v>67.5</v>
      </c>
    </row>
    <row r="29" spans="1:21" x14ac:dyDescent="0.2">
      <c r="A29" s="50">
        <v>27</v>
      </c>
      <c r="B29" s="102">
        <v>3.5</v>
      </c>
      <c r="C29" s="45">
        <v>46</v>
      </c>
      <c r="D29" s="143">
        <v>-0.5</v>
      </c>
      <c r="E29" s="45">
        <v>63</v>
      </c>
      <c r="F29" s="143">
        <v>-1.5</v>
      </c>
      <c r="G29" s="45">
        <v>98</v>
      </c>
      <c r="H29" s="143">
        <v>-0.5</v>
      </c>
      <c r="I29" s="45">
        <v>11</v>
      </c>
      <c r="J29" s="143">
        <v>13.5</v>
      </c>
      <c r="K29" s="45">
        <v>59.5</v>
      </c>
      <c r="L29" s="143">
        <v>-0.5</v>
      </c>
      <c r="M29" s="45">
        <v>52</v>
      </c>
      <c r="N29" s="143">
        <v>11</v>
      </c>
      <c r="O29" s="45">
        <v>77.5</v>
      </c>
      <c r="P29" s="143">
        <v>0</v>
      </c>
      <c r="Q29" s="45">
        <v>37</v>
      </c>
      <c r="R29" s="143">
        <v>1</v>
      </c>
      <c r="S29" s="45">
        <v>61</v>
      </c>
      <c r="T29" s="143">
        <v>-3</v>
      </c>
      <c r="U29" s="45">
        <v>62</v>
      </c>
    </row>
    <row r="30" spans="1:21" x14ac:dyDescent="0.2">
      <c r="A30" s="50">
        <v>28</v>
      </c>
      <c r="B30" s="102">
        <v>0</v>
      </c>
      <c r="C30" s="45">
        <v>11</v>
      </c>
      <c r="D30" s="143">
        <v>2</v>
      </c>
      <c r="E30" s="45">
        <v>73.5</v>
      </c>
      <c r="F30" s="143">
        <v>6.5</v>
      </c>
      <c r="G30" s="45">
        <v>92.5</v>
      </c>
      <c r="H30" s="143">
        <v>4</v>
      </c>
      <c r="I30" s="45">
        <v>41</v>
      </c>
      <c r="J30" s="143">
        <v>5</v>
      </c>
      <c r="K30" s="45">
        <v>59.5</v>
      </c>
      <c r="L30" s="143">
        <v>0</v>
      </c>
      <c r="M30" s="45">
        <v>75</v>
      </c>
      <c r="N30" s="143">
        <v>1</v>
      </c>
      <c r="O30" s="45">
        <v>36</v>
      </c>
      <c r="P30" s="143">
        <v>-1</v>
      </c>
      <c r="Q30" s="45">
        <v>31.5</v>
      </c>
      <c r="R30" s="143">
        <v>0</v>
      </c>
      <c r="S30" s="45">
        <v>77.5</v>
      </c>
      <c r="T30" s="143">
        <v>-4</v>
      </c>
      <c r="U30" s="45">
        <v>68.5</v>
      </c>
    </row>
    <row r="31" spans="1:21" x14ac:dyDescent="0.2">
      <c r="A31" s="50">
        <v>29</v>
      </c>
      <c r="B31" s="102">
        <v>0</v>
      </c>
      <c r="C31" s="45">
        <v>47</v>
      </c>
      <c r="D31" s="143">
        <v>-3.5</v>
      </c>
      <c r="E31" s="45">
        <v>66.5</v>
      </c>
      <c r="F31" s="143">
        <v>6.5</v>
      </c>
      <c r="G31" s="45">
        <v>87.5</v>
      </c>
      <c r="H31" s="143">
        <v>-0.5</v>
      </c>
      <c r="I31" s="45">
        <v>17</v>
      </c>
      <c r="J31" s="143">
        <v>0</v>
      </c>
      <c r="K31" s="45">
        <v>57</v>
      </c>
      <c r="L31" s="143">
        <v>7</v>
      </c>
      <c r="M31" s="45">
        <v>86.5</v>
      </c>
      <c r="N31" s="143">
        <v>5</v>
      </c>
      <c r="O31" s="45">
        <v>65</v>
      </c>
      <c r="P31" s="143">
        <v>-2</v>
      </c>
      <c r="Q31" s="45">
        <v>22</v>
      </c>
      <c r="R31" s="143">
        <v>-0.5</v>
      </c>
      <c r="S31" s="45">
        <v>52</v>
      </c>
      <c r="T31" s="143">
        <v>-1.5</v>
      </c>
      <c r="U31" s="45">
        <v>64.5</v>
      </c>
    </row>
    <row r="32" spans="1:21" x14ac:dyDescent="0.2">
      <c r="A32" s="50">
        <v>30</v>
      </c>
      <c r="B32" s="102">
        <v>5</v>
      </c>
      <c r="C32" s="45">
        <v>63</v>
      </c>
      <c r="D32" s="143">
        <v>3</v>
      </c>
      <c r="E32" s="45">
        <v>89</v>
      </c>
      <c r="F32" s="143">
        <v>0</v>
      </c>
      <c r="G32" s="45">
        <v>78</v>
      </c>
      <c r="H32" s="143">
        <v>0</v>
      </c>
      <c r="I32" s="45">
        <v>35.5</v>
      </c>
      <c r="J32" s="143">
        <v>3.5</v>
      </c>
      <c r="K32" s="45">
        <v>57.5</v>
      </c>
      <c r="L32" s="143">
        <v>6</v>
      </c>
      <c r="M32" s="45">
        <v>59.5</v>
      </c>
      <c r="N32" s="143">
        <v>4.5</v>
      </c>
      <c r="O32" s="45">
        <v>58.5</v>
      </c>
      <c r="P32" s="143">
        <v>-1</v>
      </c>
      <c r="Q32" s="45">
        <v>40.5</v>
      </c>
      <c r="R32" s="143">
        <v>-0.5</v>
      </c>
      <c r="S32" s="45">
        <v>41</v>
      </c>
      <c r="T32" s="143">
        <v>-0.5</v>
      </c>
      <c r="U32" s="45">
        <v>70</v>
      </c>
    </row>
    <row r="33" spans="1:21" x14ac:dyDescent="0.2">
      <c r="A33" s="50">
        <v>31</v>
      </c>
      <c r="B33" s="102">
        <v>-0.5</v>
      </c>
      <c r="C33" s="45">
        <v>47</v>
      </c>
      <c r="D33" s="143">
        <v>-1.5</v>
      </c>
      <c r="E33" s="45">
        <v>61</v>
      </c>
      <c r="F33" s="143">
        <v>-3</v>
      </c>
      <c r="G33" s="45">
        <v>75.5</v>
      </c>
      <c r="H33" s="143">
        <v>4</v>
      </c>
      <c r="I33" s="45">
        <v>34</v>
      </c>
      <c r="J33" s="143">
        <v>4.5</v>
      </c>
      <c r="K33" s="45">
        <v>76</v>
      </c>
      <c r="L33" s="143">
        <v>-1.5</v>
      </c>
      <c r="M33" s="45">
        <v>64</v>
      </c>
      <c r="N33" s="143">
        <v>-3</v>
      </c>
      <c r="O33" s="45">
        <v>31.5</v>
      </c>
      <c r="P33" s="143">
        <v>2</v>
      </c>
      <c r="Q33" s="45">
        <v>62</v>
      </c>
      <c r="R33" s="143">
        <v>0</v>
      </c>
      <c r="S33" s="45">
        <v>54</v>
      </c>
      <c r="T33" s="143">
        <v>2</v>
      </c>
      <c r="U33" s="45">
        <v>72</v>
      </c>
    </row>
    <row r="34" spans="1:21" x14ac:dyDescent="0.2">
      <c r="A34" s="50">
        <v>32</v>
      </c>
      <c r="B34" s="102">
        <v>0</v>
      </c>
      <c r="C34" s="45">
        <v>49.5</v>
      </c>
      <c r="D34" s="143">
        <v>2.5</v>
      </c>
      <c r="E34" s="45">
        <v>75</v>
      </c>
      <c r="F34" s="143">
        <v>2</v>
      </c>
      <c r="G34" s="45">
        <v>104.5</v>
      </c>
      <c r="H34" s="143">
        <v>2.5</v>
      </c>
      <c r="I34" s="45">
        <v>42</v>
      </c>
      <c r="J34" s="143">
        <v>-4.5</v>
      </c>
      <c r="K34" s="45">
        <v>19</v>
      </c>
      <c r="L34" s="143">
        <v>-0.5</v>
      </c>
      <c r="M34" s="45">
        <v>62</v>
      </c>
      <c r="N34" s="143">
        <v>-2</v>
      </c>
      <c r="O34" s="45">
        <v>41</v>
      </c>
      <c r="P34" s="143">
        <v>2</v>
      </c>
      <c r="Q34" s="45">
        <v>42</v>
      </c>
      <c r="R34" s="143">
        <v>2</v>
      </c>
      <c r="S34" s="45">
        <v>44</v>
      </c>
      <c r="T34" s="143">
        <v>4.5</v>
      </c>
      <c r="U34" s="45">
        <v>68</v>
      </c>
    </row>
    <row r="35" spans="1:21" x14ac:dyDescent="0.2">
      <c r="A35" s="50">
        <v>33</v>
      </c>
      <c r="B35" s="102">
        <v>0.5</v>
      </c>
      <c r="C35" s="45">
        <v>47</v>
      </c>
      <c r="D35" s="143">
        <v>0</v>
      </c>
      <c r="E35" s="45">
        <v>72</v>
      </c>
      <c r="F35" s="143">
        <v>5</v>
      </c>
      <c r="G35" s="45">
        <v>88.5</v>
      </c>
      <c r="H35" s="143">
        <v>0</v>
      </c>
      <c r="I35" s="45">
        <v>16.5</v>
      </c>
      <c r="J35" s="143">
        <v>1</v>
      </c>
      <c r="K35" s="45">
        <v>31</v>
      </c>
      <c r="L35" s="143">
        <v>3</v>
      </c>
      <c r="M35" s="45">
        <v>73.5</v>
      </c>
      <c r="N35" s="143">
        <v>2.5</v>
      </c>
      <c r="O35" s="45">
        <v>59.5</v>
      </c>
      <c r="P35" s="143">
        <v>-2</v>
      </c>
      <c r="Q35" s="45">
        <v>27.5</v>
      </c>
      <c r="R35" s="143">
        <v>1</v>
      </c>
      <c r="S35" s="45">
        <v>63</v>
      </c>
      <c r="T35" s="143">
        <v>10</v>
      </c>
      <c r="U35" s="45">
        <v>84.5</v>
      </c>
    </row>
    <row r="36" spans="1:21" x14ac:dyDescent="0.2">
      <c r="A36" s="50">
        <v>34</v>
      </c>
      <c r="B36" s="102">
        <v>-2</v>
      </c>
      <c r="C36" s="45">
        <v>48.5</v>
      </c>
      <c r="D36" s="143">
        <v>2.5</v>
      </c>
      <c r="E36" s="45">
        <v>100.5</v>
      </c>
      <c r="F36" s="143">
        <v>5</v>
      </c>
      <c r="G36" s="45">
        <v>77</v>
      </c>
      <c r="H36" s="143">
        <v>-1</v>
      </c>
      <c r="I36" s="45">
        <v>10.5</v>
      </c>
      <c r="J36" s="143">
        <v>4.5</v>
      </c>
      <c r="K36" s="45">
        <v>66</v>
      </c>
      <c r="L36" s="143">
        <v>-2.5</v>
      </c>
      <c r="M36" s="45">
        <v>56</v>
      </c>
      <c r="N36" s="143">
        <v>2.5</v>
      </c>
      <c r="O36" s="45">
        <v>63.5</v>
      </c>
      <c r="P36" s="143">
        <v>-3</v>
      </c>
      <c r="Q36" s="45">
        <v>20</v>
      </c>
      <c r="R36" s="143">
        <v>-3</v>
      </c>
      <c r="S36" s="45">
        <v>55.5</v>
      </c>
      <c r="T36" s="143">
        <v>6.5</v>
      </c>
      <c r="U36" s="45">
        <v>71</v>
      </c>
    </row>
    <row r="37" spans="1:21" x14ac:dyDescent="0.2">
      <c r="A37" s="50">
        <v>35</v>
      </c>
      <c r="B37" s="102">
        <v>-1.5</v>
      </c>
      <c r="C37" s="45">
        <v>56.5</v>
      </c>
      <c r="D37" s="143">
        <v>1.5</v>
      </c>
      <c r="E37" s="45">
        <v>70</v>
      </c>
      <c r="F37" s="143">
        <v>7.5</v>
      </c>
      <c r="G37" s="45">
        <v>77.5</v>
      </c>
      <c r="H37" s="143">
        <v>0</v>
      </c>
      <c r="I37" s="45">
        <v>18</v>
      </c>
      <c r="J37" s="143">
        <v>3</v>
      </c>
      <c r="K37" s="45">
        <v>34</v>
      </c>
      <c r="L37" s="143">
        <v>0</v>
      </c>
      <c r="M37" s="45">
        <v>33.5</v>
      </c>
      <c r="N37" s="143">
        <v>8.5</v>
      </c>
      <c r="O37" s="45">
        <v>58</v>
      </c>
      <c r="P37" s="143">
        <v>-2</v>
      </c>
      <c r="Q37" s="45">
        <v>40</v>
      </c>
      <c r="R37" s="143">
        <v>-0.5</v>
      </c>
      <c r="S37" s="45">
        <v>60</v>
      </c>
      <c r="T37" s="143">
        <v>1.5</v>
      </c>
      <c r="U37" s="45">
        <v>56</v>
      </c>
    </row>
    <row r="38" spans="1:21" ht="15" thickBot="1" x14ac:dyDescent="0.25">
      <c r="A38" s="51">
        <v>36</v>
      </c>
      <c r="B38" s="103"/>
      <c r="C38" s="46"/>
      <c r="D38" s="105"/>
      <c r="E38" s="46"/>
      <c r="F38" s="105"/>
      <c r="G38" s="46"/>
      <c r="H38" s="105"/>
      <c r="I38" s="46"/>
      <c r="J38" s="105"/>
      <c r="K38" s="46"/>
      <c r="L38" s="105"/>
      <c r="M38" s="46"/>
      <c r="N38" s="105"/>
      <c r="O38" s="46"/>
      <c r="P38" s="105"/>
      <c r="Q38" s="46"/>
      <c r="R38" s="105"/>
      <c r="S38" s="46"/>
      <c r="T38" s="105"/>
      <c r="U38" s="46"/>
    </row>
    <row r="39" spans="1:21" ht="15.75" thickBot="1" x14ac:dyDescent="0.3">
      <c r="A39" s="42" t="s">
        <v>321</v>
      </c>
      <c r="B39" s="211">
        <f>SUM(B3:B38)</f>
        <v>39.5</v>
      </c>
      <c r="C39" s="213">
        <f>SUM(C3:C38)</f>
        <v>1748</v>
      </c>
      <c r="D39" s="214">
        <f t="shared" ref="D39:U39" si="0">SUM(D3:D38)</f>
        <v>44.5</v>
      </c>
      <c r="E39" s="118">
        <f t="shared" si="0"/>
        <v>1976</v>
      </c>
      <c r="F39" s="119">
        <f t="shared" si="0"/>
        <v>55.5</v>
      </c>
      <c r="G39" s="118">
        <f t="shared" si="0"/>
        <v>2210.5</v>
      </c>
      <c r="H39" s="119">
        <f t="shared" si="0"/>
        <v>59.5</v>
      </c>
      <c r="I39" s="118">
        <f t="shared" si="0"/>
        <v>1296.5</v>
      </c>
      <c r="J39" s="119">
        <f t="shared" si="0"/>
        <v>50</v>
      </c>
      <c r="K39" s="118">
        <f t="shared" si="0"/>
        <v>1249</v>
      </c>
      <c r="L39" s="119">
        <f t="shared" si="0"/>
        <v>100</v>
      </c>
      <c r="M39" s="118">
        <f t="shared" si="0"/>
        <v>2126</v>
      </c>
      <c r="N39" s="119">
        <f t="shared" si="0"/>
        <v>56.5</v>
      </c>
      <c r="O39" s="118">
        <f t="shared" si="0"/>
        <v>1579.5</v>
      </c>
      <c r="P39" s="119">
        <f t="shared" si="0"/>
        <v>7.5</v>
      </c>
      <c r="Q39" s="118">
        <f t="shared" si="0"/>
        <v>1524.5</v>
      </c>
      <c r="R39" s="162">
        <f>SUM(R3:R38)</f>
        <v>9.5</v>
      </c>
      <c r="S39" s="118">
        <f>SUM(S3:S38)</f>
        <v>1419</v>
      </c>
      <c r="T39" s="119">
        <f t="shared" si="0"/>
        <v>106.5</v>
      </c>
      <c r="U39" s="118">
        <f t="shared" si="0"/>
        <v>2805.5</v>
      </c>
    </row>
    <row r="40" spans="1:21" ht="15.75" thickBot="1" x14ac:dyDescent="0.3">
      <c r="A40" s="42" t="s">
        <v>320</v>
      </c>
      <c r="B40" s="136">
        <f>AVERAGE(B3:B38)</f>
        <v>1.1285714285714286</v>
      </c>
      <c r="C40" s="137">
        <f t="shared" ref="C40:U40" si="1">AVERAGE(C3:C38)</f>
        <v>49.942857142857143</v>
      </c>
      <c r="D40" s="136">
        <f t="shared" si="1"/>
        <v>1.2714285714285714</v>
      </c>
      <c r="E40" s="137">
        <f t="shared" si="1"/>
        <v>56.457142857142856</v>
      </c>
      <c r="F40" s="136">
        <f t="shared" si="1"/>
        <v>1.5857142857142856</v>
      </c>
      <c r="G40" s="137">
        <f t="shared" si="1"/>
        <v>63.157142857142858</v>
      </c>
      <c r="H40" s="136">
        <f t="shared" si="1"/>
        <v>1.7</v>
      </c>
      <c r="I40" s="137">
        <f t="shared" si="1"/>
        <v>37.042857142857144</v>
      </c>
      <c r="J40" s="136">
        <f t="shared" si="1"/>
        <v>1.4285714285714286</v>
      </c>
      <c r="K40" s="137">
        <f t="shared" si="1"/>
        <v>35.685714285714283</v>
      </c>
      <c r="L40" s="136">
        <f t="shared" si="1"/>
        <v>2.8571428571428572</v>
      </c>
      <c r="M40" s="137">
        <f t="shared" si="1"/>
        <v>60.74285714285714</v>
      </c>
      <c r="N40" s="136">
        <f t="shared" si="1"/>
        <v>1.6142857142857143</v>
      </c>
      <c r="O40" s="137">
        <f t="shared" si="1"/>
        <v>45.128571428571426</v>
      </c>
      <c r="P40" s="136">
        <f t="shared" si="1"/>
        <v>0.21428571428571427</v>
      </c>
      <c r="Q40" s="137">
        <f t="shared" si="1"/>
        <v>43.557142857142857</v>
      </c>
      <c r="R40" s="136">
        <f>AVERAGE(R3:R38)</f>
        <v>0.27142857142857141</v>
      </c>
      <c r="S40" s="137">
        <f>AVERAGE(S3:S38)</f>
        <v>40.542857142857144</v>
      </c>
      <c r="T40" s="136">
        <f t="shared" si="1"/>
        <v>3.0428571428571427</v>
      </c>
      <c r="U40" s="137">
        <f t="shared" si="1"/>
        <v>80.157142857142858</v>
      </c>
    </row>
    <row r="42" spans="1:21" ht="15" x14ac:dyDescent="0.25">
      <c r="A42" s="369" t="s">
        <v>385</v>
      </c>
      <c r="B42" s="226" t="s">
        <v>386</v>
      </c>
      <c r="C42" s="229" t="s">
        <v>387</v>
      </c>
      <c r="D42" s="226" t="s">
        <v>386</v>
      </c>
      <c r="E42" s="229" t="s">
        <v>387</v>
      </c>
      <c r="F42" s="226" t="s">
        <v>386</v>
      </c>
      <c r="G42" s="229" t="s">
        <v>387</v>
      </c>
      <c r="H42" s="226" t="s">
        <v>386</v>
      </c>
      <c r="I42" s="229" t="s">
        <v>387</v>
      </c>
      <c r="J42" s="227" t="s">
        <v>386</v>
      </c>
      <c r="K42" s="230" t="s">
        <v>387</v>
      </c>
      <c r="L42" s="226" t="s">
        <v>386</v>
      </c>
      <c r="M42" s="229" t="s">
        <v>387</v>
      </c>
      <c r="N42" s="228" t="s">
        <v>386</v>
      </c>
      <c r="O42" s="231" t="s">
        <v>387</v>
      </c>
      <c r="P42" s="226" t="s">
        <v>386</v>
      </c>
      <c r="Q42" s="229" t="s">
        <v>387</v>
      </c>
      <c r="R42" s="226" t="s">
        <v>386</v>
      </c>
      <c r="S42" s="229" t="s">
        <v>387</v>
      </c>
      <c r="T42" s="226" t="s">
        <v>386</v>
      </c>
      <c r="U42" s="229" t="s">
        <v>387</v>
      </c>
    </row>
    <row r="43" spans="1:21" ht="15" x14ac:dyDescent="0.2">
      <c r="A43" s="370"/>
      <c r="B43" s="232">
        <v>9</v>
      </c>
      <c r="C43" s="233">
        <v>13</v>
      </c>
      <c r="D43" s="232">
        <v>16</v>
      </c>
      <c r="E43" s="233">
        <v>18</v>
      </c>
      <c r="F43" s="232">
        <v>34</v>
      </c>
      <c r="G43" s="233">
        <v>15</v>
      </c>
      <c r="H43" s="232">
        <v>16</v>
      </c>
      <c r="I43" s="233">
        <v>9</v>
      </c>
      <c r="J43" s="241">
        <v>19</v>
      </c>
      <c r="K43" s="234">
        <v>3</v>
      </c>
      <c r="L43" s="232">
        <v>33</v>
      </c>
      <c r="M43" s="233">
        <v>15</v>
      </c>
      <c r="N43" s="235">
        <v>20</v>
      </c>
      <c r="O43" s="236">
        <v>14</v>
      </c>
      <c r="P43" s="232">
        <v>13</v>
      </c>
      <c r="Q43" s="233">
        <v>16</v>
      </c>
      <c r="R43" s="232">
        <v>9</v>
      </c>
      <c r="S43" s="233">
        <v>7</v>
      </c>
      <c r="T43" s="232">
        <v>36</v>
      </c>
      <c r="U43" s="233">
        <v>28</v>
      </c>
    </row>
    <row r="44" spans="1:21" ht="15" x14ac:dyDescent="0.2">
      <c r="A44" s="240" t="s">
        <v>389</v>
      </c>
      <c r="B44" s="239">
        <f>B43/(B43+'Bonus-Malus'!B10)</f>
        <v>0.20930232558139536</v>
      </c>
      <c r="C44" s="242">
        <f>C43/(C43+'Bonus-Malus'!I10)</f>
        <v>0.37142857142857144</v>
      </c>
      <c r="D44" s="239">
        <f>D43/(D43+'Bonus-Malus'!B2)</f>
        <v>0.22535211267605634</v>
      </c>
      <c r="E44" s="242">
        <f>E43/(E43+'Bonus-Malus'!I2)</f>
        <v>0.38297872340425532</v>
      </c>
      <c r="F44" s="239">
        <f>F43/(F43+'Bonus-Malus'!B11)</f>
        <v>0.4</v>
      </c>
      <c r="G44" s="242">
        <f>G43/(G43+'Bonus-Malus'!I11)</f>
        <v>0.35714285714285715</v>
      </c>
      <c r="H44" s="239">
        <f>H43/(H43+'Bonus-Malus'!B3)</f>
        <v>0.25</v>
      </c>
      <c r="I44" s="242">
        <f>I43/(I43+'Bonus-Malus'!I3)</f>
        <v>0.32142857142857145</v>
      </c>
      <c r="J44" s="243">
        <f>J43/(J43+'Bonus-Malus'!B4)</f>
        <v>0.27142857142857141</v>
      </c>
      <c r="K44" s="244">
        <f>K43/(K43+'Bonus-Malus'!I4)</f>
        <v>6.8181818181818177E-2</v>
      </c>
      <c r="L44" s="239">
        <f>L43/(L43+'Bonus-Malus'!B5)</f>
        <v>0.4925373134328358</v>
      </c>
      <c r="M44" s="242">
        <f>M43/(M43+'Bonus-Malus'!I5)</f>
        <v>0.41666666666666669</v>
      </c>
      <c r="N44" s="239">
        <f>N43/(N43+'Bonus-Malus'!B7)</f>
        <v>0.29850746268656714</v>
      </c>
      <c r="O44" s="242">
        <f>O43/(O43+'Bonus-Malus'!I7)</f>
        <v>0.32558139534883723</v>
      </c>
      <c r="P44" s="239">
        <f>P43/(P43+'Bonus-Malus'!B6)</f>
        <v>0.22033898305084745</v>
      </c>
      <c r="Q44" s="242">
        <f>Q43/(Q43+'Bonus-Malus'!I6)</f>
        <v>0.4</v>
      </c>
      <c r="R44" s="239">
        <f>R43/(R43+'Bonus-Malus'!B8)</f>
        <v>0.17307692307692307</v>
      </c>
      <c r="S44" s="242">
        <f>S43/(S43+'Bonus-Malus'!I8)</f>
        <v>0.23333333333333334</v>
      </c>
      <c r="T44" s="239">
        <f>T43/(T43+'Bonus-Malus'!B9)</f>
        <v>0.41379310344827586</v>
      </c>
      <c r="U44" s="242">
        <f>U43/(U43+'Bonus-Malus'!I9)</f>
        <v>0.47457627118644069</v>
      </c>
    </row>
  </sheetData>
  <mergeCells count="11">
    <mergeCell ref="A42:A43"/>
    <mergeCell ref="N1:O1"/>
    <mergeCell ref="P1:Q1"/>
    <mergeCell ref="R1:S1"/>
    <mergeCell ref="T1:U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5"/>
  <sheetViews>
    <sheetView zoomScale="115" zoomScaleNormal="115" workbookViewId="0">
      <pane ySplit="1" topLeftCell="A2" activePane="bottomLeft" state="frozen"/>
      <selection pane="bottomLeft" activeCell="Y50" sqref="Y50"/>
    </sheetView>
  </sheetViews>
  <sheetFormatPr defaultColWidth="8.875" defaultRowHeight="14.25" x14ac:dyDescent="0.2"/>
  <cols>
    <col min="1" max="1" width="2.875" style="41" bestFit="1" customWidth="1"/>
    <col min="2" max="4" width="4" style="41" bestFit="1" customWidth="1"/>
    <col min="5" max="5" width="8" style="41" customWidth="1"/>
    <col min="6" max="8" width="4" style="41" bestFit="1" customWidth="1"/>
    <col min="9" max="9" width="7.5" style="41" bestFit="1" customWidth="1"/>
    <col min="10" max="12" width="4" style="41" bestFit="1" customWidth="1"/>
    <col min="13" max="13" width="7.875" style="41" bestFit="1" customWidth="1"/>
    <col min="14" max="16" width="4" style="41" bestFit="1" customWidth="1"/>
    <col min="17" max="17" width="7.5" style="41" bestFit="1" customWidth="1"/>
    <col min="18" max="20" width="4" style="41" bestFit="1" customWidth="1"/>
    <col min="21" max="21" width="7.5" style="41" bestFit="1" customWidth="1"/>
    <col min="22" max="24" width="4" style="41" bestFit="1" customWidth="1"/>
    <col min="25" max="25" width="7.5" style="41" bestFit="1" customWidth="1"/>
    <col min="26" max="28" width="4" style="41" bestFit="1" customWidth="1"/>
    <col min="29" max="29" width="7.5" style="41" bestFit="1" customWidth="1"/>
    <col min="30" max="32" width="4" style="41" bestFit="1" customWidth="1"/>
    <col min="33" max="33" width="7.875" style="41" bestFit="1" customWidth="1"/>
    <col min="34" max="36" width="4" style="41" bestFit="1" customWidth="1"/>
    <col min="37" max="37" width="7.5" style="41" bestFit="1" customWidth="1"/>
    <col min="38" max="40" width="4" style="41" bestFit="1" customWidth="1"/>
    <col min="41" max="41" width="7.5" style="41" bestFit="1" customWidth="1"/>
    <col min="42" max="42" width="8.875" style="41"/>
    <col min="43" max="43" width="14.375" style="41" bestFit="1" customWidth="1"/>
    <col min="44" max="16384" width="8.875" style="41"/>
  </cols>
  <sheetData>
    <row r="1" spans="1:41" ht="13.7" customHeight="1" x14ac:dyDescent="0.25">
      <c r="A1" s="70"/>
      <c r="B1" s="382" t="s">
        <v>312</v>
      </c>
      <c r="C1" s="382"/>
      <c r="D1" s="382"/>
      <c r="E1" s="382"/>
      <c r="F1" s="383" t="s">
        <v>7</v>
      </c>
      <c r="G1" s="383"/>
      <c r="H1" s="383"/>
      <c r="I1" s="383"/>
      <c r="J1" s="384" t="s">
        <v>304</v>
      </c>
      <c r="K1" s="384"/>
      <c r="L1" s="384"/>
      <c r="M1" s="384"/>
      <c r="N1" s="385" t="s">
        <v>9</v>
      </c>
      <c r="O1" s="385"/>
      <c r="P1" s="385"/>
      <c r="Q1" s="385"/>
      <c r="R1" s="393" t="s">
        <v>10</v>
      </c>
      <c r="S1" s="394"/>
      <c r="T1" s="394"/>
      <c r="U1" s="395"/>
      <c r="V1" s="392" t="s">
        <v>274</v>
      </c>
      <c r="W1" s="392"/>
      <c r="X1" s="392"/>
      <c r="Y1" s="392"/>
      <c r="Z1" s="391" t="s">
        <v>313</v>
      </c>
      <c r="AA1" s="391"/>
      <c r="AB1" s="391"/>
      <c r="AC1" s="391"/>
      <c r="AD1" s="390" t="s">
        <v>272</v>
      </c>
      <c r="AE1" s="390"/>
      <c r="AF1" s="390"/>
      <c r="AG1" s="390"/>
      <c r="AH1" s="389" t="s">
        <v>273</v>
      </c>
      <c r="AI1" s="389"/>
      <c r="AJ1" s="389"/>
      <c r="AK1" s="389"/>
      <c r="AL1" s="387" t="s">
        <v>13</v>
      </c>
      <c r="AM1" s="387"/>
      <c r="AN1" s="387"/>
      <c r="AO1" s="388"/>
    </row>
    <row r="2" spans="1:41" ht="15" x14ac:dyDescent="0.25">
      <c r="A2" s="43"/>
      <c r="B2" s="57" t="s">
        <v>278</v>
      </c>
      <c r="C2" s="58" t="s">
        <v>279</v>
      </c>
      <c r="D2" s="59" t="s">
        <v>280</v>
      </c>
      <c r="E2" s="43" t="s">
        <v>271</v>
      </c>
      <c r="F2" s="57" t="s">
        <v>278</v>
      </c>
      <c r="G2" s="58" t="s">
        <v>279</v>
      </c>
      <c r="H2" s="59" t="s">
        <v>280</v>
      </c>
      <c r="I2" s="43" t="s">
        <v>271</v>
      </c>
      <c r="J2" s="57" t="s">
        <v>278</v>
      </c>
      <c r="K2" s="58" t="s">
        <v>279</v>
      </c>
      <c r="L2" s="59" t="s">
        <v>280</v>
      </c>
      <c r="M2" s="43" t="s">
        <v>271</v>
      </c>
      <c r="N2" s="57" t="s">
        <v>278</v>
      </c>
      <c r="O2" s="58" t="s">
        <v>279</v>
      </c>
      <c r="P2" s="59" t="s">
        <v>280</v>
      </c>
      <c r="Q2" s="43" t="s">
        <v>271</v>
      </c>
      <c r="R2" s="57" t="s">
        <v>278</v>
      </c>
      <c r="S2" s="58" t="s">
        <v>279</v>
      </c>
      <c r="T2" s="59" t="s">
        <v>280</v>
      </c>
      <c r="U2" s="43" t="s">
        <v>271</v>
      </c>
      <c r="V2" s="57" t="s">
        <v>278</v>
      </c>
      <c r="W2" s="58" t="s">
        <v>279</v>
      </c>
      <c r="X2" s="59" t="s">
        <v>280</v>
      </c>
      <c r="Y2" s="43" t="s">
        <v>271</v>
      </c>
      <c r="Z2" s="57" t="s">
        <v>278</v>
      </c>
      <c r="AA2" s="58" t="s">
        <v>279</v>
      </c>
      <c r="AB2" s="59" t="s">
        <v>280</v>
      </c>
      <c r="AC2" s="43" t="s">
        <v>271</v>
      </c>
      <c r="AD2" s="57" t="s">
        <v>278</v>
      </c>
      <c r="AE2" s="58" t="s">
        <v>279</v>
      </c>
      <c r="AF2" s="59" t="s">
        <v>280</v>
      </c>
      <c r="AG2" s="43" t="s">
        <v>271</v>
      </c>
      <c r="AH2" s="57" t="s">
        <v>278</v>
      </c>
      <c r="AI2" s="58" t="s">
        <v>279</v>
      </c>
      <c r="AJ2" s="59" t="s">
        <v>280</v>
      </c>
      <c r="AK2" s="43" t="s">
        <v>271</v>
      </c>
      <c r="AL2" s="57" t="s">
        <v>278</v>
      </c>
      <c r="AM2" s="58" t="s">
        <v>279</v>
      </c>
      <c r="AN2" s="59" t="s">
        <v>280</v>
      </c>
      <c r="AO2" s="61" t="s">
        <v>271</v>
      </c>
    </row>
    <row r="3" spans="1:41" ht="15" x14ac:dyDescent="0.25">
      <c r="A3" s="76">
        <v>1</v>
      </c>
      <c r="B3" s="71">
        <v>66.66</v>
      </c>
      <c r="C3" s="71">
        <v>22.22</v>
      </c>
      <c r="D3" s="71">
        <v>11.12</v>
      </c>
      <c r="E3" s="43">
        <f>Punteggio!C3 - (3*FantaCulo!B3/100) + IF(Punteggio!C3=1,(FantaCulo!D3/100)-1, 0) - IF(Punteggio!C3=0,(FantaCulo!C3/100), 0)</f>
        <v>1.0002000000000002</v>
      </c>
      <c r="F3" s="71">
        <v>22.22</v>
      </c>
      <c r="G3" s="71">
        <v>22.22</v>
      </c>
      <c r="H3" s="71">
        <v>55.56</v>
      </c>
      <c r="I3" s="43">
        <f>Punteggio!E3 - (3*FantaCulo!F3/100) + IF(Punteggio!E3=1,(FantaCulo!H3/100)-1, 0) - IF(Punteggio!E3=0,(FantaCulo!G3/100), 0)</f>
        <v>-0.11099999999999999</v>
      </c>
      <c r="J3" s="71">
        <v>22.22</v>
      </c>
      <c r="K3" s="71">
        <v>22.22</v>
      </c>
      <c r="L3" s="71">
        <v>55.56</v>
      </c>
      <c r="M3" s="43">
        <f>Punteggio!G3 - (3*FantaCulo!J3/100) + IF(Punteggio!G3=1,(FantaCulo!L3/100)-1, 0) - IF(Punteggio!G3=0,(FantaCulo!K3/100), 0)</f>
        <v>-0.11099999999999999</v>
      </c>
      <c r="N3" s="71">
        <v>66.66</v>
      </c>
      <c r="O3" s="71">
        <v>22.22</v>
      </c>
      <c r="P3" s="71">
        <v>11.12</v>
      </c>
      <c r="Q3" s="43">
        <f>Punteggio!I3 - (3*FantaCulo!N3/100) + IF(Punteggio!I3=1,(FantaCulo!P3/100)-1, 0) - IF(Punteggio!I3=0,(FantaCulo!O3/100), 0)</f>
        <v>1.0002000000000002</v>
      </c>
      <c r="R3" s="71">
        <v>22.22</v>
      </c>
      <c r="S3" s="71">
        <v>22.22</v>
      </c>
      <c r="T3" s="71">
        <v>55.56</v>
      </c>
      <c r="U3" s="43">
        <f>Punteggio!K3 - (3*FantaCulo!R3/100) + IF(Punteggio!K3=1,(FantaCulo!T3/100)-1, 0) - IF(Punteggio!K3=0,(FantaCulo!S3/100), 0)</f>
        <v>-0.88879999999999992</v>
      </c>
      <c r="V3" s="71">
        <v>55.55</v>
      </c>
      <c r="W3" s="71">
        <v>0</v>
      </c>
      <c r="X3" s="71">
        <v>44.45</v>
      </c>
      <c r="Y3" s="43">
        <f>Punteggio!M3 - (3*FantaCulo!V3/100) + IF(Punteggio!M3=1,(FantaCulo!X3/100)-1, 0) - IF(Punteggio!M3=0,(FantaCulo!W3/100), 0)</f>
        <v>-1.6664999999999999</v>
      </c>
      <c r="Z3" s="71">
        <v>0</v>
      </c>
      <c r="AA3" s="71">
        <v>11.11</v>
      </c>
      <c r="AB3" s="71">
        <v>88.89</v>
      </c>
      <c r="AC3" s="43">
        <f>Punteggio!O3 - (3*FantaCulo!Z3/100) + IF(Punteggio!O3=1,(FantaCulo!AB3/100)-1, 0) - IF(Punteggio!O3=0,(FantaCulo!AA3/100), 0)</f>
        <v>-0.11109999999999999</v>
      </c>
      <c r="AD3" s="71">
        <v>0</v>
      </c>
      <c r="AE3" s="71">
        <v>11.11</v>
      </c>
      <c r="AF3" s="71">
        <v>88.89</v>
      </c>
      <c r="AG3" s="43">
        <f>Punteggio!Q3 - (3*FantaCulo!AD3/100) + IF(Punteggio!Q3=1,(FantaCulo!AF3/100)-1, 0) - IF(Punteggio!Q3=0,(FantaCulo!AE3/100), 0)</f>
        <v>-0.11109999999999999</v>
      </c>
      <c r="AH3" s="71">
        <v>100</v>
      </c>
      <c r="AI3" s="71">
        <v>0</v>
      </c>
      <c r="AJ3" s="71">
        <v>0</v>
      </c>
      <c r="AK3" s="43">
        <f>Punteggio!S3 - (3*FantaCulo!AH3/100) + IF(Punteggio!S3=1,(FantaCulo!AJ3/100)-1, 0) - IF(Punteggio!S3=0,(FantaCulo!AI3/100), 0)</f>
        <v>0</v>
      </c>
      <c r="AL3" s="71">
        <v>66.66</v>
      </c>
      <c r="AM3" s="71">
        <v>22.22</v>
      </c>
      <c r="AN3" s="71">
        <v>11.12</v>
      </c>
      <c r="AO3" s="43">
        <f>Punteggio!U3 - (3*FantaCulo!AL3/100) + IF(Punteggio!U3=1,(FantaCulo!AN3/100)-1, 0) - IF(Punteggio!U3=0,(FantaCulo!AM3/100), 0)</f>
        <v>1.0002000000000002</v>
      </c>
    </row>
    <row r="4" spans="1:41" s="75" customFormat="1" ht="15" x14ac:dyDescent="0.25">
      <c r="A4" s="77">
        <v>2</v>
      </c>
      <c r="B4" s="72">
        <v>33.33</v>
      </c>
      <c r="C4" s="72">
        <v>44.44</v>
      </c>
      <c r="D4" s="72">
        <v>22.23</v>
      </c>
      <c r="E4" s="73">
        <f>Punteggio!C4 - (3*FantaCulo!B4/100) + IF(Punteggio!C4=1,(FantaCulo!D4/100)-1, 0) - IF(Punteggio!C4=0,(FantaCulo!C4/100), 0)</f>
        <v>-0.77759999999999996</v>
      </c>
      <c r="F4" s="72">
        <v>33.33</v>
      </c>
      <c r="G4" s="72">
        <v>44.44</v>
      </c>
      <c r="H4" s="72">
        <v>22.23</v>
      </c>
      <c r="I4" s="73">
        <f>Punteggio!E4 - (3*FantaCulo!F4/100) + IF(Punteggio!E4=1,(FantaCulo!H4/100)-1, 0) - IF(Punteggio!E4=0,(FantaCulo!G4/100), 0)</f>
        <v>-0.77759999999999996</v>
      </c>
      <c r="J4" s="72">
        <v>100</v>
      </c>
      <c r="K4" s="72">
        <v>0</v>
      </c>
      <c r="L4" s="72">
        <v>0</v>
      </c>
      <c r="M4" s="73">
        <f>Punteggio!G4 - (3*FantaCulo!J4/100) + IF(Punteggio!G4=1,(FantaCulo!L4/100)-1, 0) - IF(Punteggio!G4=0,(FantaCulo!K4/100), 0)</f>
        <v>0</v>
      </c>
      <c r="N4" s="72">
        <v>33.33</v>
      </c>
      <c r="O4" s="72">
        <v>44.44</v>
      </c>
      <c r="P4" s="72">
        <v>22.23</v>
      </c>
      <c r="Q4" s="73">
        <f>Punteggio!I4 - (3*FantaCulo!N4/100) + IF(Punteggio!I4=1,(FantaCulo!P4/100)-1, 0) - IF(Punteggio!I4=0,(FantaCulo!O4/100), 0)</f>
        <v>-1.4442999999999999</v>
      </c>
      <c r="R4" s="72">
        <v>33.33</v>
      </c>
      <c r="S4" s="72">
        <v>44.44</v>
      </c>
      <c r="T4" s="72">
        <v>22.23</v>
      </c>
      <c r="U4" s="73">
        <f>Punteggio!K4 - (3*FantaCulo!R4/100) + IF(Punteggio!K4=1,(FantaCulo!T4/100)-1, 0) - IF(Punteggio!K4=0,(FantaCulo!S4/100), 0)</f>
        <v>2.0001000000000002</v>
      </c>
      <c r="V4" s="72">
        <v>0</v>
      </c>
      <c r="W4" s="72">
        <v>22.22</v>
      </c>
      <c r="X4" s="72">
        <v>77.78</v>
      </c>
      <c r="Y4" s="73">
        <f>Punteggio!M4 - (3*FantaCulo!V4/100) + IF(Punteggio!M4=1,(FantaCulo!X4/100)-1, 0) - IF(Punteggio!M4=0,(FantaCulo!W4/100), 0)</f>
        <v>-0.22219999999999998</v>
      </c>
      <c r="Z4" s="72">
        <v>33.33</v>
      </c>
      <c r="AA4" s="72">
        <v>44.44</v>
      </c>
      <c r="AB4" s="72">
        <v>22.23</v>
      </c>
      <c r="AC4" s="73">
        <f>Punteggio!O4 - (3*FantaCulo!Z4/100) + IF(Punteggio!O4=1,(FantaCulo!AB4/100)-1, 0) - IF(Punteggio!O4=0,(FantaCulo!AA4/100), 0)</f>
        <v>-1.4442999999999999</v>
      </c>
      <c r="AD4" s="72">
        <v>0</v>
      </c>
      <c r="AE4" s="72">
        <v>22.22</v>
      </c>
      <c r="AF4" s="72">
        <v>77.78</v>
      </c>
      <c r="AG4" s="73">
        <f>Punteggio!Q4 - (3*FantaCulo!AD4/100) + IF(Punteggio!Q4=1,(FantaCulo!AF4/100)-1, 0) - IF(Punteggio!Q4=0,(FantaCulo!AE4/100), 0)</f>
        <v>0.77780000000000005</v>
      </c>
      <c r="AH4" s="72">
        <v>88.88</v>
      </c>
      <c r="AI4" s="72">
        <v>0</v>
      </c>
      <c r="AJ4" s="72">
        <v>11.12</v>
      </c>
      <c r="AK4" s="73">
        <f>Punteggio!S4 - (3*FantaCulo!AH4/100) + IF(Punteggio!S4=1,(FantaCulo!AJ4/100)-1, 0) - IF(Punteggio!S4=0,(FantaCulo!AI4/100), 0)</f>
        <v>0.33360000000000012</v>
      </c>
      <c r="AL4" s="72">
        <v>0</v>
      </c>
      <c r="AM4" s="72">
        <v>22.22</v>
      </c>
      <c r="AN4" s="72">
        <v>77.78</v>
      </c>
      <c r="AO4" s="73">
        <f>Punteggio!U4 - (3*FantaCulo!AL4/100) + IF(Punteggio!U4=1,(FantaCulo!AN4/100)-1, 0) - IF(Punteggio!U4=0,(FantaCulo!AM4/100), 0)</f>
        <v>0.77780000000000005</v>
      </c>
    </row>
    <row r="5" spans="1:41" s="256" customFormat="1" ht="15" x14ac:dyDescent="0.25">
      <c r="A5" s="76">
        <v>3</v>
      </c>
      <c r="B5" s="71">
        <v>11.11</v>
      </c>
      <c r="C5" s="71">
        <v>22.22</v>
      </c>
      <c r="D5" s="71">
        <v>66.67</v>
      </c>
      <c r="E5" s="43">
        <f>Punteggio!C5 - (3*FantaCulo!B5/100) + IF(Punteggio!C5=1,(FantaCulo!D5/100)-1, 0) - IF(Punteggio!C5=0,(FantaCulo!C5/100), 0)</f>
        <v>-0.55549999999999999</v>
      </c>
      <c r="F5" s="71">
        <v>44.44</v>
      </c>
      <c r="G5" s="71">
        <v>22.22</v>
      </c>
      <c r="H5" s="71">
        <v>33.340000000000003</v>
      </c>
      <c r="I5" s="43">
        <f>Punteggio!E5 - (3*FantaCulo!F5/100) + IF(Punteggio!E5=1,(FantaCulo!H5/100)-1, 0) - IF(Punteggio!E5=0,(FantaCulo!G5/100), 0)</f>
        <v>1.6668000000000001</v>
      </c>
      <c r="J5" s="71">
        <v>77.77</v>
      </c>
      <c r="K5" s="71">
        <v>22.23</v>
      </c>
      <c r="L5" s="71">
        <v>0</v>
      </c>
      <c r="M5" s="43">
        <f>Punteggio!G5 - (3*FantaCulo!J5/100) + IF(Punteggio!G5=1,(FantaCulo!L5/100)-1, 0) - IF(Punteggio!G5=0,(FantaCulo!K5/100), 0)</f>
        <v>0.66690000000000005</v>
      </c>
      <c r="N5" s="71">
        <v>44.44</v>
      </c>
      <c r="O5" s="71">
        <v>22.22</v>
      </c>
      <c r="P5" s="71">
        <v>33.340000000000003</v>
      </c>
      <c r="Q5" s="43">
        <f>Punteggio!I5 - (3*FantaCulo!N5/100) + IF(Punteggio!I5=1,(FantaCulo!P5/100)-1, 0) - IF(Punteggio!I5=0,(FantaCulo!O5/100), 0)</f>
        <v>-1.5553999999999999</v>
      </c>
      <c r="R5" s="71">
        <v>77.77</v>
      </c>
      <c r="S5" s="71">
        <v>22.23</v>
      </c>
      <c r="T5" s="71">
        <v>0</v>
      </c>
      <c r="U5" s="43">
        <f>Punteggio!K5 - (3*FantaCulo!R5/100) + IF(Punteggio!K5=1,(FantaCulo!T5/100)-1, 0) - IF(Punteggio!K5=0,(FantaCulo!S5/100), 0)</f>
        <v>0.66690000000000005</v>
      </c>
      <c r="V5" s="71">
        <v>44.44</v>
      </c>
      <c r="W5" s="71">
        <v>22.22</v>
      </c>
      <c r="X5" s="71">
        <v>33.340000000000003</v>
      </c>
      <c r="Y5" s="43">
        <f>Punteggio!M5 - (3*FantaCulo!V5/100) + IF(Punteggio!M5=1,(FantaCulo!X5/100)-1, 0) - IF(Punteggio!M5=0,(FantaCulo!W5/100), 0)</f>
        <v>1.6668000000000001</v>
      </c>
      <c r="Z5" s="71">
        <v>11.11</v>
      </c>
      <c r="AA5" s="71">
        <v>22.22</v>
      </c>
      <c r="AB5" s="71">
        <v>66.67</v>
      </c>
      <c r="AC5" s="43">
        <f>Punteggio!O5 - (3*FantaCulo!Z5/100) + IF(Punteggio!O5=1,(FantaCulo!AB5/100)-1, 0) - IF(Punteggio!O5=0,(FantaCulo!AA5/100), 0)</f>
        <v>-0.55549999999999999</v>
      </c>
      <c r="AD5" s="71">
        <v>11.11</v>
      </c>
      <c r="AE5" s="71">
        <v>22.22</v>
      </c>
      <c r="AF5" s="71">
        <v>66.67</v>
      </c>
      <c r="AG5" s="43">
        <f>Punteggio!Q5 - (3*FantaCulo!AD5/100) + IF(Punteggio!Q5=1,(FantaCulo!AF5/100)-1, 0) - IF(Punteggio!Q5=0,(FantaCulo!AE5/100), 0)</f>
        <v>-0.55549999999999999</v>
      </c>
      <c r="AH5" s="71">
        <v>0</v>
      </c>
      <c r="AI5" s="71">
        <v>0</v>
      </c>
      <c r="AJ5" s="71">
        <v>100</v>
      </c>
      <c r="AK5" s="43">
        <f>Punteggio!S5 - (3*FantaCulo!AH5/100) + IF(Punteggio!S5=1,(FantaCulo!AJ5/100)-1, 0) - IF(Punteggio!S5=0,(FantaCulo!AI5/100), 0)</f>
        <v>0</v>
      </c>
      <c r="AL5" s="71">
        <v>77.77</v>
      </c>
      <c r="AM5" s="71">
        <v>22.23</v>
      </c>
      <c r="AN5" s="71">
        <v>0</v>
      </c>
      <c r="AO5" s="43">
        <f>Punteggio!U5 - (3*FantaCulo!AL5/100) + IF(Punteggio!U5=1,(FantaCulo!AN5/100)-1, 0) - IF(Punteggio!U5=0,(FantaCulo!AM5/100), 0)</f>
        <v>0.66690000000000005</v>
      </c>
    </row>
    <row r="6" spans="1:41" s="75" customFormat="1" ht="15" x14ac:dyDescent="0.25">
      <c r="A6" s="77">
        <v>4</v>
      </c>
      <c r="B6" s="72">
        <v>66.66</v>
      </c>
      <c r="C6" s="72">
        <v>33.340000000000003</v>
      </c>
      <c r="D6" s="72">
        <v>0</v>
      </c>
      <c r="E6" s="73">
        <f>Punteggio!C6 - (3*FantaCulo!B6/100) + IF(Punteggio!C6=1,(FantaCulo!D6/100)-1, 0) - IF(Punteggio!C6=0,(FantaCulo!C6/100), 0)</f>
        <v>1.0002000000000002</v>
      </c>
      <c r="F6" s="72">
        <v>0</v>
      </c>
      <c r="G6" s="72">
        <v>11.11</v>
      </c>
      <c r="H6" s="72">
        <v>88.89</v>
      </c>
      <c r="I6" s="73">
        <f>Punteggio!E6 - (3*FantaCulo!F6/100) + IF(Punteggio!E6=1,(FantaCulo!H6/100)-1, 0) - IF(Punteggio!E6=0,(FantaCulo!G6/100), 0)</f>
        <v>-0.11109999999999999</v>
      </c>
      <c r="J6" s="72">
        <v>66.66</v>
      </c>
      <c r="K6" s="72">
        <v>33.340000000000003</v>
      </c>
      <c r="L6" s="72">
        <v>0</v>
      </c>
      <c r="M6" s="73">
        <f>Punteggio!G6 - (3*FantaCulo!J6/100) + IF(Punteggio!G6=1,(FantaCulo!L6/100)-1, 0) - IF(Punteggio!G6=0,(FantaCulo!K6/100), 0)</f>
        <v>1.0002000000000002</v>
      </c>
      <c r="N6" s="72">
        <v>22.22</v>
      </c>
      <c r="O6" s="72">
        <v>33.33</v>
      </c>
      <c r="P6" s="72">
        <v>44.45</v>
      </c>
      <c r="Q6" s="73">
        <f>Punteggio!I6 - (3*FantaCulo!N6/100) + IF(Punteggio!I6=1,(FantaCulo!P6/100)-1, 0) - IF(Punteggio!I6=0,(FantaCulo!O6/100), 0)</f>
        <v>-0.22209999999999996</v>
      </c>
      <c r="R6" s="72">
        <v>22.22</v>
      </c>
      <c r="S6" s="72">
        <v>33.33</v>
      </c>
      <c r="T6" s="72">
        <v>44.45</v>
      </c>
      <c r="U6" s="73">
        <f>Punteggio!K6 - (3*FantaCulo!R6/100) + IF(Punteggio!K6=1,(FantaCulo!T6/100)-1, 0) - IF(Punteggio!K6=0,(FantaCulo!S6/100), 0)</f>
        <v>-0.99990000000000001</v>
      </c>
      <c r="V6" s="72">
        <v>0</v>
      </c>
      <c r="W6" s="72">
        <v>11.11</v>
      </c>
      <c r="X6" s="72">
        <v>88.89</v>
      </c>
      <c r="Y6" s="73">
        <f>Punteggio!M6 - (3*FantaCulo!V6/100) + IF(Punteggio!M6=1,(FantaCulo!X6/100)-1, 0) - IF(Punteggio!M6=0,(FantaCulo!W6/100), 0)</f>
        <v>-0.11109999999999999</v>
      </c>
      <c r="Z6" s="72">
        <v>66.66</v>
      </c>
      <c r="AA6" s="72">
        <v>33.340000000000003</v>
      </c>
      <c r="AB6" s="72">
        <v>0</v>
      </c>
      <c r="AC6" s="73">
        <f>Punteggio!O6 - (3*FantaCulo!Z6/100) + IF(Punteggio!O6=1,(FantaCulo!AB6/100)-1, 0) - IF(Punteggio!O6=0,(FantaCulo!AA6/100), 0)</f>
        <v>1.0002000000000002</v>
      </c>
      <c r="AD6" s="72">
        <v>22.22</v>
      </c>
      <c r="AE6" s="72">
        <v>33.33</v>
      </c>
      <c r="AF6" s="72">
        <v>44.45</v>
      </c>
      <c r="AG6" s="73">
        <f>Punteggio!Q6 - (3*FantaCulo!AD6/100) + IF(Punteggio!Q6=1,(FantaCulo!AF6/100)-1, 0) - IF(Punteggio!Q6=0,(FantaCulo!AE6/100), 0)</f>
        <v>-0.22209999999999996</v>
      </c>
      <c r="AH6" s="72">
        <v>22.22</v>
      </c>
      <c r="AI6" s="72">
        <v>33.33</v>
      </c>
      <c r="AJ6" s="72">
        <v>44.45</v>
      </c>
      <c r="AK6" s="73">
        <f>Punteggio!S6 - (3*FantaCulo!AH6/100) + IF(Punteggio!S6=1,(FantaCulo!AJ6/100)-1, 0) - IF(Punteggio!S6=0,(FantaCulo!AI6/100), 0)</f>
        <v>-0.99990000000000001</v>
      </c>
      <c r="AL6" s="72">
        <v>66.66</v>
      </c>
      <c r="AM6" s="72">
        <v>33.340000000000003</v>
      </c>
      <c r="AN6" s="72">
        <v>0</v>
      </c>
      <c r="AO6" s="73">
        <f>Punteggio!U6 - (3*FantaCulo!AL6/100) + IF(Punteggio!U6=1,(FantaCulo!AN6/100)-1, 0) - IF(Punteggio!U6=0,(FantaCulo!AM6/100), 0)</f>
        <v>1.0002000000000002</v>
      </c>
    </row>
    <row r="7" spans="1:41" s="256" customFormat="1" ht="15" x14ac:dyDescent="0.25">
      <c r="A7" s="76">
        <v>5</v>
      </c>
      <c r="B7" s="71">
        <v>0</v>
      </c>
      <c r="C7" s="71">
        <v>22.22</v>
      </c>
      <c r="D7" s="71">
        <v>77.78</v>
      </c>
      <c r="E7" s="43">
        <f>Punteggio!C7 - (3*FantaCulo!B7/100) + IF(Punteggio!C7=1,(FantaCulo!D7/100)-1, 0) - IF(Punteggio!C7=0,(FantaCulo!C7/100), 0)</f>
        <v>-0.22219999999999998</v>
      </c>
      <c r="F7" s="71">
        <v>33.33</v>
      </c>
      <c r="G7" s="71">
        <v>11.11</v>
      </c>
      <c r="H7" s="71">
        <v>55.56</v>
      </c>
      <c r="I7" s="43">
        <f>Punteggio!E7 - (3*FantaCulo!F7/100) + IF(Punteggio!E7=1,(FantaCulo!H7/100)-1, 0) - IF(Punteggio!E7=0,(FantaCulo!G7/100), 0)</f>
        <v>-1.111</v>
      </c>
      <c r="J7" s="71">
        <v>33.33</v>
      </c>
      <c r="K7" s="71">
        <v>11.11</v>
      </c>
      <c r="L7" s="71">
        <v>55.56</v>
      </c>
      <c r="M7" s="43">
        <f>Punteggio!G7 - (3*FantaCulo!J7/100) + IF(Punteggio!G7=1,(FantaCulo!L7/100)-1, 0) - IF(Punteggio!G7=0,(FantaCulo!K7/100), 0)</f>
        <v>2.0001000000000002</v>
      </c>
      <c r="N7" s="71">
        <v>55.55</v>
      </c>
      <c r="O7" s="71">
        <v>11.11</v>
      </c>
      <c r="P7" s="71">
        <v>33.340000000000003</v>
      </c>
      <c r="Q7" s="43">
        <f>Punteggio!I7 - (3*FantaCulo!N7/100) + IF(Punteggio!I7=1,(FantaCulo!P7/100)-1, 0) - IF(Punteggio!I7=0,(FantaCulo!O7/100), 0)</f>
        <v>1.3335000000000001</v>
      </c>
      <c r="R7" s="71">
        <v>77.77</v>
      </c>
      <c r="S7" s="71">
        <v>11.11</v>
      </c>
      <c r="T7" s="71">
        <v>11.12</v>
      </c>
      <c r="U7" s="43">
        <f>Punteggio!K7 - (3*FantaCulo!R7/100) + IF(Punteggio!K7=1,(FantaCulo!T7/100)-1, 0) - IF(Punteggio!K7=0,(FantaCulo!S7/100), 0)</f>
        <v>-2.4441999999999999</v>
      </c>
      <c r="V7" s="71">
        <v>77.77</v>
      </c>
      <c r="W7" s="71">
        <v>11.11</v>
      </c>
      <c r="X7" s="71">
        <v>11.12</v>
      </c>
      <c r="Y7" s="43">
        <f>Punteggio!M7 - (3*FantaCulo!V7/100) + IF(Punteggio!M7=1,(FantaCulo!X7/100)-1, 0) - IF(Punteggio!M7=0,(FantaCulo!W7/100), 0)</f>
        <v>0.66690000000000005</v>
      </c>
      <c r="Z7" s="71">
        <v>100</v>
      </c>
      <c r="AA7" s="71">
        <v>0</v>
      </c>
      <c r="AB7" s="71">
        <v>0</v>
      </c>
      <c r="AC7" s="43">
        <f>Punteggio!O7 - (3*FantaCulo!Z7/100) + IF(Punteggio!O7=1,(FantaCulo!AB7/100)-1, 0) - IF(Punteggio!O7=0,(FantaCulo!AA7/100), 0)</f>
        <v>0</v>
      </c>
      <c r="AD7" s="71">
        <v>0</v>
      </c>
      <c r="AE7" s="71">
        <v>22.22</v>
      </c>
      <c r="AF7" s="71">
        <v>77.78</v>
      </c>
      <c r="AG7" s="43">
        <f>Punteggio!Q7 - (3*FantaCulo!AD7/100) + IF(Punteggio!Q7=1,(FantaCulo!AF7/100)-1, 0) - IF(Punteggio!Q7=0,(FantaCulo!AE7/100), 0)</f>
        <v>-0.22219999999999998</v>
      </c>
      <c r="AH7" s="71">
        <v>55.55</v>
      </c>
      <c r="AI7" s="71">
        <v>11.11</v>
      </c>
      <c r="AJ7" s="71">
        <v>33.340000000000003</v>
      </c>
      <c r="AK7" s="43">
        <f>Punteggio!S7 - (3*FantaCulo!AH7/100) + IF(Punteggio!S7=1,(FantaCulo!AJ7/100)-1, 0) - IF(Punteggio!S7=0,(FantaCulo!AI7/100), 0)</f>
        <v>1.3335000000000001</v>
      </c>
      <c r="AL7" s="71">
        <v>0</v>
      </c>
      <c r="AM7" s="71">
        <v>22.22</v>
      </c>
      <c r="AN7" s="71">
        <v>77.78</v>
      </c>
      <c r="AO7" s="43">
        <f>Punteggio!U7 - (3*FantaCulo!AL7/100) + IF(Punteggio!U7=1,(FantaCulo!AN7/100)-1, 0) - IF(Punteggio!U7=0,(FantaCulo!AM7/100), 0)</f>
        <v>-0.22219999999999998</v>
      </c>
    </row>
    <row r="8" spans="1:41" s="75" customFormat="1" ht="15" x14ac:dyDescent="0.25">
      <c r="A8" s="77">
        <v>6</v>
      </c>
      <c r="B8" s="72">
        <v>88.88</v>
      </c>
      <c r="C8" s="72">
        <v>0</v>
      </c>
      <c r="D8" s="72">
        <v>11.12</v>
      </c>
      <c r="E8" s="73">
        <f>Punteggio!C8 - (3*FantaCulo!B8/100) + IF(Punteggio!C8=1,(FantaCulo!D8/100)-1, 0) - IF(Punteggio!C8=0,(FantaCulo!C8/100), 0)</f>
        <v>0.33360000000000012</v>
      </c>
      <c r="F8" s="72">
        <v>66.66</v>
      </c>
      <c r="G8" s="72">
        <v>11.11</v>
      </c>
      <c r="H8" s="72">
        <v>22.23</v>
      </c>
      <c r="I8" s="73">
        <f>Punteggio!E8 - (3*FantaCulo!F8/100) + IF(Punteggio!E8=1,(FantaCulo!H8/100)-1, 0) - IF(Punteggio!E8=0,(FantaCulo!G8/100), 0)</f>
        <v>1.0002000000000002</v>
      </c>
      <c r="J8" s="72">
        <v>66.66</v>
      </c>
      <c r="K8" s="72">
        <v>11.11</v>
      </c>
      <c r="L8" s="72">
        <v>22.23</v>
      </c>
      <c r="M8" s="73">
        <f>Punteggio!G8 - (3*FantaCulo!J8/100) + IF(Punteggio!G8=1,(FantaCulo!L8/100)-1, 0) - IF(Punteggio!G8=0,(FantaCulo!K8/100), 0)</f>
        <v>-2.1109</v>
      </c>
      <c r="N8" s="72">
        <v>11.11</v>
      </c>
      <c r="O8" s="72">
        <v>44.44</v>
      </c>
      <c r="P8" s="72">
        <v>44.45</v>
      </c>
      <c r="Q8" s="73">
        <f>Punteggio!I8 - (3*FantaCulo!N8/100) + IF(Punteggio!I8=1,(FantaCulo!P8/100)-1, 0) - IF(Punteggio!I8=0,(FantaCulo!O8/100), 0)</f>
        <v>0.11120000000000008</v>
      </c>
      <c r="R8" s="72">
        <v>11.11</v>
      </c>
      <c r="S8" s="72">
        <v>44.44</v>
      </c>
      <c r="T8" s="72">
        <v>44.45</v>
      </c>
      <c r="U8" s="73">
        <f>Punteggio!K8 - (3*FantaCulo!R8/100) + IF(Punteggio!K8=1,(FantaCulo!T8/100)-1, 0) - IF(Punteggio!K8=0,(FantaCulo!S8/100), 0)</f>
        <v>2.6667000000000001</v>
      </c>
      <c r="V8" s="72">
        <v>11.11</v>
      </c>
      <c r="W8" s="72">
        <v>44.44</v>
      </c>
      <c r="X8" s="72">
        <v>44.45</v>
      </c>
      <c r="Y8" s="73">
        <f>Punteggio!M8 - (3*FantaCulo!V8/100) + IF(Punteggio!M8=1,(FantaCulo!X8/100)-1, 0) - IF(Punteggio!M8=0,(FantaCulo!W8/100), 0)</f>
        <v>-0.77769999999999995</v>
      </c>
      <c r="Z8" s="72">
        <v>100</v>
      </c>
      <c r="AA8" s="72">
        <v>0</v>
      </c>
      <c r="AB8" s="72">
        <v>0</v>
      </c>
      <c r="AC8" s="73">
        <f>Punteggio!O8 - (3*FantaCulo!Z8/100) + IF(Punteggio!O8=1,(FantaCulo!AB8/100)-1, 0) - IF(Punteggio!O8=0,(FantaCulo!AA8/100), 0)</f>
        <v>0</v>
      </c>
      <c r="AD8" s="72">
        <v>11.11</v>
      </c>
      <c r="AE8" s="72">
        <v>44.44</v>
      </c>
      <c r="AF8" s="72">
        <v>44.45</v>
      </c>
      <c r="AG8" s="73">
        <f>Punteggio!Q8 - (3*FantaCulo!AD8/100) + IF(Punteggio!Q8=1,(FantaCulo!AF8/100)-1, 0) - IF(Punteggio!Q8=0,(FantaCulo!AE8/100), 0)</f>
        <v>-0.77769999999999995</v>
      </c>
      <c r="AH8" s="72">
        <v>0</v>
      </c>
      <c r="AI8" s="72">
        <v>0</v>
      </c>
      <c r="AJ8" s="72">
        <v>100</v>
      </c>
      <c r="AK8" s="73">
        <f>Punteggio!S8 - (3*FantaCulo!AH8/100) + IF(Punteggio!S8=1,(FantaCulo!AJ8/100)-1, 0) - IF(Punteggio!S8=0,(FantaCulo!AI8/100), 0)</f>
        <v>0</v>
      </c>
      <c r="AL8" s="72">
        <v>11.11</v>
      </c>
      <c r="AM8" s="72">
        <v>44.44</v>
      </c>
      <c r="AN8" s="72">
        <v>44.45</v>
      </c>
      <c r="AO8" s="73">
        <f>Punteggio!U8 - (3*FantaCulo!AL8/100) + IF(Punteggio!U8=1,(FantaCulo!AN8/100)-1, 0) - IF(Punteggio!U8=0,(FantaCulo!AM8/100), 0)</f>
        <v>0.11120000000000008</v>
      </c>
    </row>
    <row r="9" spans="1:41" s="256" customFormat="1" ht="15" x14ac:dyDescent="0.25">
      <c r="A9" s="76">
        <v>7</v>
      </c>
      <c r="B9" s="71">
        <v>11.11</v>
      </c>
      <c r="C9" s="71">
        <v>33.33</v>
      </c>
      <c r="D9" s="71">
        <v>55.56</v>
      </c>
      <c r="E9" s="43">
        <f>Punteggio!C9 - (3*FantaCulo!B9/100) + IF(Punteggio!C9=1,(FantaCulo!D9/100)-1, 0) - IF(Punteggio!C9=0,(FantaCulo!C9/100), 0)</f>
        <v>2.6667000000000001</v>
      </c>
      <c r="F9" s="71">
        <v>55.55</v>
      </c>
      <c r="G9" s="71">
        <v>22.22</v>
      </c>
      <c r="H9" s="71">
        <v>22.23</v>
      </c>
      <c r="I9" s="43">
        <f>Punteggio!E9 - (3*FantaCulo!F9/100) + IF(Punteggio!E9=1,(FantaCulo!H9/100)-1, 0) - IF(Punteggio!E9=0,(FantaCulo!G9/100), 0)</f>
        <v>1.3335000000000001</v>
      </c>
      <c r="J9" s="71">
        <v>88.88</v>
      </c>
      <c r="K9" s="71">
        <v>11.12</v>
      </c>
      <c r="L9" s="71">
        <v>0</v>
      </c>
      <c r="M9" s="43">
        <f>Punteggio!G9 - (3*FantaCulo!J9/100) + IF(Punteggio!G9=1,(FantaCulo!L9/100)-1, 0) - IF(Punteggio!G9=0,(FantaCulo!K9/100), 0)</f>
        <v>0.33360000000000012</v>
      </c>
      <c r="N9" s="71">
        <v>55.55</v>
      </c>
      <c r="O9" s="71">
        <v>22.22</v>
      </c>
      <c r="P9" s="71">
        <v>22.23</v>
      </c>
      <c r="Q9" s="43">
        <f>Punteggio!I9 - (3*FantaCulo!N9/100) + IF(Punteggio!I9=1,(FantaCulo!P9/100)-1, 0) - IF(Punteggio!I9=0,(FantaCulo!O9/100), 0)</f>
        <v>-1.4441999999999999</v>
      </c>
      <c r="R9" s="71">
        <v>11.11</v>
      </c>
      <c r="S9" s="71">
        <v>33.33</v>
      </c>
      <c r="T9" s="71">
        <v>55.56</v>
      </c>
      <c r="U9" s="43">
        <f>Punteggio!K9 - (3*FantaCulo!R9/100) + IF(Punteggio!K9=1,(FantaCulo!T9/100)-1, 0) - IF(Punteggio!K9=0,(FantaCulo!S9/100), 0)</f>
        <v>-0.66659999999999997</v>
      </c>
      <c r="V9" s="71">
        <v>55.55</v>
      </c>
      <c r="W9" s="71">
        <v>22.22</v>
      </c>
      <c r="X9" s="71">
        <v>22.23</v>
      </c>
      <c r="Y9" s="43">
        <f>Punteggio!M9 - (3*FantaCulo!V9/100) + IF(Punteggio!M9=1,(FantaCulo!X9/100)-1, 0) - IF(Punteggio!M9=0,(FantaCulo!W9/100), 0)</f>
        <v>-1.4441999999999999</v>
      </c>
      <c r="Z9" s="71">
        <v>0</v>
      </c>
      <c r="AA9" s="71">
        <v>0</v>
      </c>
      <c r="AB9" s="71">
        <v>100</v>
      </c>
      <c r="AC9" s="43">
        <f>Punteggio!O9 - (3*FantaCulo!Z9/100) + IF(Punteggio!O9=1,(FantaCulo!AB9/100)-1, 0) - IF(Punteggio!O9=0,(FantaCulo!AA9/100), 0)</f>
        <v>0</v>
      </c>
      <c r="AD9" s="71">
        <v>11.11</v>
      </c>
      <c r="AE9" s="71">
        <v>33.33</v>
      </c>
      <c r="AF9" s="71">
        <v>55.56</v>
      </c>
      <c r="AG9" s="43">
        <f>Punteggio!Q9 - (3*FantaCulo!AD9/100) + IF(Punteggio!Q9=1,(FantaCulo!AF9/100)-1, 0) - IF(Punteggio!Q9=0,(FantaCulo!AE9/100), 0)</f>
        <v>-0.66659999999999997</v>
      </c>
      <c r="AH9" s="71">
        <v>88.88</v>
      </c>
      <c r="AI9" s="71">
        <v>11.12</v>
      </c>
      <c r="AJ9" s="71">
        <v>0</v>
      </c>
      <c r="AK9" s="43">
        <f>Punteggio!S9 - (3*FantaCulo!AH9/100) + IF(Punteggio!S9=1,(FantaCulo!AJ9/100)-1, 0) - IF(Punteggio!S9=0,(FantaCulo!AI9/100), 0)</f>
        <v>0.33360000000000012</v>
      </c>
      <c r="AL9" s="71">
        <v>11.11</v>
      </c>
      <c r="AM9" s="71">
        <v>33.33</v>
      </c>
      <c r="AN9" s="71">
        <v>55.56</v>
      </c>
      <c r="AO9" s="43">
        <f>Punteggio!U9 - (3*FantaCulo!AL9/100) + IF(Punteggio!U9=1,(FantaCulo!AN9/100)-1, 0) - IF(Punteggio!U9=0,(FantaCulo!AM9/100), 0)</f>
        <v>-0.66659999999999997</v>
      </c>
    </row>
    <row r="10" spans="1:41" s="75" customFormat="1" ht="15" x14ac:dyDescent="0.25">
      <c r="A10" s="77">
        <v>8</v>
      </c>
      <c r="B10" s="72">
        <v>0</v>
      </c>
      <c r="C10" s="72">
        <v>11.11</v>
      </c>
      <c r="D10" s="72">
        <v>88.89</v>
      </c>
      <c r="E10" s="73">
        <f>Punteggio!C10 - (3*FantaCulo!B10/100) + IF(Punteggio!C10=1,(FantaCulo!D10/100)-1, 0) - IF(Punteggio!C10=0,(FantaCulo!C10/100), 0)</f>
        <v>-0.11109999999999999</v>
      </c>
      <c r="F10" s="72">
        <v>22.22</v>
      </c>
      <c r="G10" s="72">
        <v>22.22</v>
      </c>
      <c r="H10" s="72">
        <v>55.56</v>
      </c>
      <c r="I10" s="73">
        <f>Punteggio!E10 - (3*FantaCulo!F10/100) + IF(Punteggio!E10=1,(FantaCulo!H10/100)-1, 0) - IF(Punteggio!E10=0,(FantaCulo!G10/100), 0)</f>
        <v>-0.88879999999999992</v>
      </c>
      <c r="J10" s="72">
        <v>55.55</v>
      </c>
      <c r="K10" s="72">
        <v>33.33</v>
      </c>
      <c r="L10" s="72">
        <v>11.12</v>
      </c>
      <c r="M10" s="73">
        <f>Punteggio!G10 - (3*FantaCulo!J10/100) + IF(Punteggio!G10=1,(FantaCulo!L10/100)-1, 0) - IF(Punteggio!G10=0,(FantaCulo!K10/100), 0)</f>
        <v>-1.5552999999999999</v>
      </c>
      <c r="N10" s="72">
        <v>55.55</v>
      </c>
      <c r="O10" s="72">
        <v>33.33</v>
      </c>
      <c r="P10" s="72">
        <v>11.12</v>
      </c>
      <c r="Q10" s="73">
        <f>Punteggio!I10 - (3*FantaCulo!N10/100) + IF(Punteggio!I10=1,(FantaCulo!P10/100)-1, 0) - IF(Punteggio!I10=0,(FantaCulo!O10/100), 0)</f>
        <v>1.3335000000000001</v>
      </c>
      <c r="R10" s="72">
        <v>0</v>
      </c>
      <c r="S10" s="72">
        <v>0</v>
      </c>
      <c r="T10" s="72">
        <v>100</v>
      </c>
      <c r="U10" s="73">
        <f>Punteggio!K10 - (3*FantaCulo!R10/100) + IF(Punteggio!K10=1,(FantaCulo!T10/100)-1, 0) - IF(Punteggio!K10=0,(FantaCulo!S10/100), 0)</f>
        <v>3</v>
      </c>
      <c r="V10" s="72">
        <v>55.55</v>
      </c>
      <c r="W10" s="72">
        <v>33.33</v>
      </c>
      <c r="X10" s="72">
        <v>11.12</v>
      </c>
      <c r="Y10" s="73">
        <f>Punteggio!M10 - (3*FantaCulo!V10/100) + IF(Punteggio!M10=1,(FantaCulo!X10/100)-1, 0) - IF(Punteggio!M10=0,(FantaCulo!W10/100), 0)</f>
        <v>-1.5552999999999999</v>
      </c>
      <c r="Z10" s="72">
        <v>0</v>
      </c>
      <c r="AA10" s="72">
        <v>11.11</v>
      </c>
      <c r="AB10" s="72">
        <v>88.89</v>
      </c>
      <c r="AC10" s="73">
        <f>Punteggio!O10 - (3*FantaCulo!Z10/100) + IF(Punteggio!O10=1,(FantaCulo!AB10/100)-1, 0) - IF(Punteggio!O10=0,(FantaCulo!AA10/100), 0)</f>
        <v>-0.11109999999999999</v>
      </c>
      <c r="AD10" s="72">
        <v>22.22</v>
      </c>
      <c r="AE10" s="72">
        <v>22.22</v>
      </c>
      <c r="AF10" s="72">
        <v>55.56</v>
      </c>
      <c r="AG10" s="73">
        <f>Punteggio!Q10 - (3*FantaCulo!AD10/100) + IF(Punteggio!Q10=1,(FantaCulo!AF10/100)-1, 0) - IF(Punteggio!Q10=0,(FantaCulo!AE10/100), 0)</f>
        <v>-0.88879999999999992</v>
      </c>
      <c r="AH10" s="72">
        <v>22.22</v>
      </c>
      <c r="AI10" s="72">
        <v>22.22</v>
      </c>
      <c r="AJ10" s="72">
        <v>55.56</v>
      </c>
      <c r="AK10" s="73">
        <f>Punteggio!S10 - (3*FantaCulo!AH10/100) + IF(Punteggio!S10=1,(FantaCulo!AJ10/100)-1, 0) - IF(Punteggio!S10=0,(FantaCulo!AI10/100), 0)</f>
        <v>2.3334000000000001</v>
      </c>
      <c r="AL10" s="72">
        <v>55.55</v>
      </c>
      <c r="AM10" s="72">
        <v>33.33</v>
      </c>
      <c r="AN10" s="72">
        <v>11.12</v>
      </c>
      <c r="AO10" s="73">
        <f>Punteggio!U10 - (3*FantaCulo!AL10/100) + IF(Punteggio!U10=1,(FantaCulo!AN10/100)-1, 0) - IF(Punteggio!U10=0,(FantaCulo!AM10/100), 0)</f>
        <v>1.3335000000000001</v>
      </c>
    </row>
    <row r="11" spans="1:41" s="256" customFormat="1" ht="15" x14ac:dyDescent="0.25">
      <c r="A11" s="76">
        <v>9</v>
      </c>
      <c r="B11" s="71">
        <v>11.11</v>
      </c>
      <c r="C11" s="71">
        <v>33.33</v>
      </c>
      <c r="D11" s="71">
        <v>55.56</v>
      </c>
      <c r="E11" s="43">
        <f>Punteggio!C11 - (3*FantaCulo!B11/100) + IF(Punteggio!C11=1,(FantaCulo!D11/100)-1, 0) - IF(Punteggio!C11=0,(FantaCulo!C11/100), 0)</f>
        <v>-0.66659999999999997</v>
      </c>
      <c r="F11" s="71">
        <v>77.77</v>
      </c>
      <c r="G11" s="71">
        <v>0</v>
      </c>
      <c r="H11" s="71">
        <v>22.23</v>
      </c>
      <c r="I11" s="43">
        <f>Punteggio!E11 - (3*FantaCulo!F11/100) + IF(Punteggio!E11=1,(FantaCulo!H11/100)-1, 0) - IF(Punteggio!E11=0,(FantaCulo!G11/100), 0)</f>
        <v>0.66690000000000005</v>
      </c>
      <c r="J11" s="71">
        <v>11.11</v>
      </c>
      <c r="K11" s="71">
        <v>33.33</v>
      </c>
      <c r="L11" s="71">
        <v>55.56</v>
      </c>
      <c r="M11" s="43">
        <f>Punteggio!G11 - (3*FantaCulo!J11/100) + IF(Punteggio!G11=1,(FantaCulo!L11/100)-1, 0) - IF(Punteggio!G11=0,(FantaCulo!K11/100), 0)</f>
        <v>0.22230000000000005</v>
      </c>
      <c r="N11" s="71">
        <v>11.11</v>
      </c>
      <c r="O11" s="71">
        <v>33.33</v>
      </c>
      <c r="P11" s="71">
        <v>55.56</v>
      </c>
      <c r="Q11" s="43">
        <f>Punteggio!I11 - (3*FantaCulo!N11/100) + IF(Punteggio!I11=1,(FantaCulo!P11/100)-1, 0) - IF(Punteggio!I11=0,(FantaCulo!O11/100), 0)</f>
        <v>0.22230000000000005</v>
      </c>
      <c r="R11" s="71">
        <v>55.55</v>
      </c>
      <c r="S11" s="71">
        <v>11.11</v>
      </c>
      <c r="T11" s="71">
        <v>33.340000000000003</v>
      </c>
      <c r="U11" s="43">
        <f>Punteggio!K11 - (3*FantaCulo!R11/100) + IF(Punteggio!K11=1,(FantaCulo!T11/100)-1, 0) - IF(Punteggio!K11=0,(FantaCulo!S11/100), 0)</f>
        <v>1.3335000000000001</v>
      </c>
      <c r="V11" s="71">
        <v>11.11</v>
      </c>
      <c r="W11" s="71">
        <v>33.33</v>
      </c>
      <c r="X11" s="71">
        <v>55.56</v>
      </c>
      <c r="Y11" s="43">
        <f>Punteggio!M11 - (3*FantaCulo!V11/100) + IF(Punteggio!M11=1,(FantaCulo!X11/100)-1, 0) - IF(Punteggio!M11=0,(FantaCulo!W11/100), 0)</f>
        <v>2.6667000000000001</v>
      </c>
      <c r="Z11" s="71">
        <v>0</v>
      </c>
      <c r="AA11" s="71">
        <v>0</v>
      </c>
      <c r="AB11" s="71">
        <v>100</v>
      </c>
      <c r="AC11" s="43">
        <f>Punteggio!O11 - (3*FantaCulo!Z11/100) + IF(Punteggio!O11=1,(FantaCulo!AB11/100)-1, 0) - IF(Punteggio!O11=0,(FantaCulo!AA11/100), 0)</f>
        <v>0</v>
      </c>
      <c r="AD11" s="71">
        <v>55.55</v>
      </c>
      <c r="AE11" s="71">
        <v>11.11</v>
      </c>
      <c r="AF11" s="71">
        <v>33.340000000000003</v>
      </c>
      <c r="AG11" s="43">
        <f>Punteggio!Q11 - (3*FantaCulo!AD11/100) + IF(Punteggio!Q11=1,(FantaCulo!AF11/100)-1, 0) - IF(Punteggio!Q11=0,(FantaCulo!AE11/100), 0)</f>
        <v>-1.7775999999999998</v>
      </c>
      <c r="AH11" s="71">
        <v>88.88</v>
      </c>
      <c r="AI11" s="71">
        <v>11.11</v>
      </c>
      <c r="AJ11" s="71">
        <v>0</v>
      </c>
      <c r="AK11" s="43">
        <f>Punteggio!S11 - (3*FantaCulo!AH11/100) + IF(Punteggio!S11=1,(FantaCulo!AJ11/100)-1, 0) - IF(Punteggio!S11=0,(FantaCulo!AI11/100), 0)</f>
        <v>-2.6663999999999999</v>
      </c>
      <c r="AL11" s="71">
        <v>88.88</v>
      </c>
      <c r="AM11" s="71">
        <v>11.11</v>
      </c>
      <c r="AN11" s="71">
        <v>0</v>
      </c>
      <c r="AO11" s="43">
        <f>Punteggio!U11 - (3*FantaCulo!AL11/100) + IF(Punteggio!U11=1,(FantaCulo!AN11/100)-1, 0) - IF(Punteggio!U11=0,(FantaCulo!AM11/100), 0)</f>
        <v>-2.6663999999999999</v>
      </c>
    </row>
    <row r="12" spans="1:41" s="75" customFormat="1" ht="15" x14ac:dyDescent="0.25">
      <c r="A12" s="77">
        <v>10</v>
      </c>
      <c r="B12" s="72">
        <v>77.77</v>
      </c>
      <c r="C12" s="72">
        <v>11.11</v>
      </c>
      <c r="D12" s="72">
        <v>11.12</v>
      </c>
      <c r="E12" s="73">
        <f>Punteggio!C12 - (3*FantaCulo!B12/100) + IF(Punteggio!C12=1,(FantaCulo!D12/100)-1, 0) - IF(Punteggio!C12=0,(FantaCulo!C12/100), 0)</f>
        <v>0.66690000000000005</v>
      </c>
      <c r="F12" s="72">
        <v>77.77</v>
      </c>
      <c r="G12" s="72">
        <v>11.11</v>
      </c>
      <c r="H12" s="72">
        <v>11.12</v>
      </c>
      <c r="I12" s="73">
        <f>Punteggio!E12 - (3*FantaCulo!F12/100) + IF(Punteggio!E12=1,(FantaCulo!H12/100)-1, 0) - IF(Punteggio!E12=0,(FantaCulo!G12/100), 0)</f>
        <v>-2.4441999999999999</v>
      </c>
      <c r="J12" s="72">
        <v>100</v>
      </c>
      <c r="K12" s="72">
        <v>0</v>
      </c>
      <c r="L12" s="72">
        <v>0</v>
      </c>
      <c r="M12" s="73">
        <f>Punteggio!G12 - (3*FantaCulo!J12/100) + IF(Punteggio!G12=1,(FantaCulo!L12/100)-1, 0) - IF(Punteggio!G12=0,(FantaCulo!K12/100), 0)</f>
        <v>0</v>
      </c>
      <c r="N12" s="72">
        <v>0</v>
      </c>
      <c r="O12" s="72">
        <v>22.22</v>
      </c>
      <c r="P12" s="72">
        <v>77.78</v>
      </c>
      <c r="Q12" s="73">
        <f>Punteggio!I12 - (3*FantaCulo!N12/100) + IF(Punteggio!I12=1,(FantaCulo!P12/100)-1, 0) - IF(Punteggio!I12=0,(FantaCulo!O12/100), 0)</f>
        <v>-0.22219999999999998</v>
      </c>
      <c r="R12" s="72">
        <v>0</v>
      </c>
      <c r="S12" s="72">
        <v>22.22</v>
      </c>
      <c r="T12" s="72">
        <v>77.78</v>
      </c>
      <c r="U12" s="73">
        <f>Punteggio!K12 - (3*FantaCulo!R12/100) + IF(Punteggio!K12=1,(FantaCulo!T12/100)-1, 0) - IF(Punteggio!K12=0,(FantaCulo!S12/100), 0)</f>
        <v>-0.22219999999999998</v>
      </c>
      <c r="V12" s="72">
        <v>0</v>
      </c>
      <c r="W12" s="72">
        <v>22.22</v>
      </c>
      <c r="X12" s="72">
        <v>77.78</v>
      </c>
      <c r="Y12" s="73">
        <f>Punteggio!M12 - (3*FantaCulo!V12/100) + IF(Punteggio!M12=1,(FantaCulo!X12/100)-1, 0) - IF(Punteggio!M12=0,(FantaCulo!W12/100), 0)</f>
        <v>-0.22219999999999998</v>
      </c>
      <c r="Z12" s="72">
        <v>33.33</v>
      </c>
      <c r="AA12" s="72">
        <v>33.33</v>
      </c>
      <c r="AB12" s="72">
        <v>33.340000000000003</v>
      </c>
      <c r="AC12" s="73">
        <f>Punteggio!O12 - (3*FantaCulo!Z12/100) + IF(Punteggio!O12=1,(FantaCulo!AB12/100)-1, 0) - IF(Punteggio!O12=0,(FantaCulo!AA12/100), 0)</f>
        <v>2.0001000000000002</v>
      </c>
      <c r="AD12" s="72">
        <v>33.33</v>
      </c>
      <c r="AE12" s="72">
        <v>33.33</v>
      </c>
      <c r="AF12" s="72">
        <v>33.340000000000003</v>
      </c>
      <c r="AG12" s="73">
        <f>Punteggio!Q12 - (3*FantaCulo!AD12/100) + IF(Punteggio!Q12=1,(FantaCulo!AF12/100)-1, 0) - IF(Punteggio!Q12=0,(FantaCulo!AE12/100), 0)</f>
        <v>-1.3331999999999999</v>
      </c>
      <c r="AH12" s="72">
        <v>33.33</v>
      </c>
      <c r="AI12" s="72">
        <v>33.33</v>
      </c>
      <c r="AJ12" s="72">
        <v>33.340000000000003</v>
      </c>
      <c r="AK12" s="73">
        <f>Punteggio!S12 - (3*FantaCulo!AH12/100) + IF(Punteggio!S12=1,(FantaCulo!AJ12/100)-1, 0) - IF(Punteggio!S12=0,(FantaCulo!AI12/100), 0)</f>
        <v>2.0001000000000002</v>
      </c>
      <c r="AL12" s="72">
        <v>33.33</v>
      </c>
      <c r="AM12" s="72">
        <v>33.33</v>
      </c>
      <c r="AN12" s="72">
        <v>33.340000000000003</v>
      </c>
      <c r="AO12" s="73">
        <f>Punteggio!U12 - (3*FantaCulo!AL12/100) + IF(Punteggio!U12=1,(FantaCulo!AN12/100)-1, 0) - IF(Punteggio!U12=0,(FantaCulo!AM12/100), 0)</f>
        <v>2.0001000000000002</v>
      </c>
    </row>
    <row r="13" spans="1:41" s="256" customFormat="1" ht="15" x14ac:dyDescent="0.25">
      <c r="A13" s="76">
        <v>11</v>
      </c>
      <c r="B13" s="71">
        <v>0</v>
      </c>
      <c r="C13" s="71">
        <v>0</v>
      </c>
      <c r="D13" s="71">
        <v>100</v>
      </c>
      <c r="E13" s="43">
        <f>Punteggio!C13 - (3*FantaCulo!B13/100) + IF(Punteggio!C13=1,(FantaCulo!D13/100)-1, 0) - IF(Punteggio!C13=0,(FantaCulo!C13/100), 0)</f>
        <v>0</v>
      </c>
      <c r="F13" s="71">
        <v>88.88</v>
      </c>
      <c r="G13" s="71">
        <v>11.11</v>
      </c>
      <c r="H13" s="71">
        <v>0</v>
      </c>
      <c r="I13" s="43">
        <f>Punteggio!E13 - (3*FantaCulo!F13/100) + IF(Punteggio!E13=1,(FantaCulo!H13/100)-1, 0) - IF(Punteggio!E13=0,(FantaCulo!G13/100), 0)</f>
        <v>0.33360000000000012</v>
      </c>
      <c r="J13" s="71">
        <v>11.11</v>
      </c>
      <c r="K13" s="71">
        <v>22.22</v>
      </c>
      <c r="L13" s="71">
        <v>66.67</v>
      </c>
      <c r="M13" s="43">
        <f>Punteggio!G13 - (3*FantaCulo!J13/100) + IF(Punteggio!G13=1,(FantaCulo!L13/100)-1, 0) - IF(Punteggio!G13=0,(FantaCulo!K13/100), 0)</f>
        <v>-0.55549999999999999</v>
      </c>
      <c r="N13" s="71">
        <v>44.44</v>
      </c>
      <c r="O13" s="71">
        <v>33.33</v>
      </c>
      <c r="P13" s="71">
        <v>22.23</v>
      </c>
      <c r="Q13" s="43">
        <f>Punteggio!I13 - (3*FantaCulo!N13/100) + IF(Punteggio!I13=1,(FantaCulo!P13/100)-1, 0) - IF(Punteggio!I13=0,(FantaCulo!O13/100), 0)</f>
        <v>-1.6664999999999999</v>
      </c>
      <c r="R13" s="71">
        <v>44.44</v>
      </c>
      <c r="S13" s="71">
        <v>33.33</v>
      </c>
      <c r="T13" s="71">
        <v>22.23</v>
      </c>
      <c r="U13" s="43">
        <f>Punteggio!K13 - (3*FantaCulo!R13/100) + IF(Punteggio!K13=1,(FantaCulo!T13/100)-1, 0) - IF(Punteggio!K13=0,(FantaCulo!S13/100), 0)</f>
        <v>1.6668000000000001</v>
      </c>
      <c r="V13" s="71">
        <v>11.11</v>
      </c>
      <c r="W13" s="71">
        <v>22.22</v>
      </c>
      <c r="X13" s="71">
        <v>66.67</v>
      </c>
      <c r="Y13" s="43">
        <f>Punteggio!M13 - (3*FantaCulo!V13/100) + IF(Punteggio!M13=1,(FantaCulo!X13/100)-1, 0) - IF(Punteggio!M13=0,(FantaCulo!W13/100), 0)</f>
        <v>-0.55549999999999999</v>
      </c>
      <c r="Z13" s="71">
        <v>44.44</v>
      </c>
      <c r="AA13" s="71">
        <v>33.33</v>
      </c>
      <c r="AB13" s="71">
        <v>22.23</v>
      </c>
      <c r="AC13" s="43">
        <f>Punteggio!O13 - (3*FantaCulo!Z13/100) + IF(Punteggio!O13=1,(FantaCulo!AB13/100)-1, 0) - IF(Punteggio!O13=0,(FantaCulo!AA13/100), 0)</f>
        <v>1.6668000000000001</v>
      </c>
      <c r="AD13" s="71">
        <v>44.44</v>
      </c>
      <c r="AE13" s="71">
        <v>33.33</v>
      </c>
      <c r="AF13" s="71">
        <v>22.23</v>
      </c>
      <c r="AG13" s="43">
        <f>Punteggio!Q13 - (3*FantaCulo!AD13/100) + IF(Punteggio!Q13=1,(FantaCulo!AF13/100)-1, 0) - IF(Punteggio!Q13=0,(FantaCulo!AE13/100), 0)</f>
        <v>1.6668000000000001</v>
      </c>
      <c r="AH13" s="71">
        <v>88.88</v>
      </c>
      <c r="AI13" s="71">
        <v>11.11</v>
      </c>
      <c r="AJ13" s="71">
        <v>0</v>
      </c>
      <c r="AK13" s="43">
        <f>Punteggio!S13 - (3*FantaCulo!AH13/100) + IF(Punteggio!S13=1,(FantaCulo!AJ13/100)-1, 0) - IF(Punteggio!S13=0,(FantaCulo!AI13/100), 0)</f>
        <v>0.33360000000000012</v>
      </c>
      <c r="AL13" s="71">
        <v>11.11</v>
      </c>
      <c r="AM13" s="71">
        <v>22.22</v>
      </c>
      <c r="AN13" s="71">
        <v>66.67</v>
      </c>
      <c r="AO13" s="43">
        <f>Punteggio!U13 - (3*FantaCulo!AL13/100) + IF(Punteggio!U13=1,(FantaCulo!AN13/100)-1, 0) - IF(Punteggio!U13=0,(FantaCulo!AM13/100), 0)</f>
        <v>-0.55549999999999999</v>
      </c>
    </row>
    <row r="14" spans="1:41" s="75" customFormat="1" ht="15" x14ac:dyDescent="0.25">
      <c r="A14" s="77">
        <v>12</v>
      </c>
      <c r="B14" s="72">
        <v>22.22</v>
      </c>
      <c r="C14" s="72">
        <v>22.22</v>
      </c>
      <c r="D14" s="72">
        <v>55.56</v>
      </c>
      <c r="E14" s="73">
        <f>Punteggio!C14 - (3*FantaCulo!B14/100) + IF(Punteggio!C14=1,(FantaCulo!D14/100)-1, 0) - IF(Punteggio!C14=0,(FantaCulo!C14/100), 0)</f>
        <v>2.3334000000000001</v>
      </c>
      <c r="F14" s="72">
        <v>55.55</v>
      </c>
      <c r="G14" s="72">
        <v>33.33</v>
      </c>
      <c r="H14" s="72">
        <v>11.12</v>
      </c>
      <c r="I14" s="73">
        <f>Punteggio!E14 - (3*FantaCulo!F14/100) + IF(Punteggio!E14=1,(FantaCulo!H14/100)-1, 0) - IF(Punteggio!E14=0,(FantaCulo!G14/100), 0)</f>
        <v>-1.5552999999999999</v>
      </c>
      <c r="J14" s="72">
        <v>55.55</v>
      </c>
      <c r="K14" s="72">
        <v>33.33</v>
      </c>
      <c r="L14" s="72">
        <v>11.12</v>
      </c>
      <c r="M14" s="73">
        <f>Punteggio!G14 - (3*FantaCulo!J14/100) + IF(Punteggio!G14=1,(FantaCulo!L14/100)-1, 0) - IF(Punteggio!G14=0,(FantaCulo!K14/100), 0)</f>
        <v>1.3335000000000001</v>
      </c>
      <c r="N14" s="72">
        <v>0</v>
      </c>
      <c r="O14" s="72">
        <v>11.11</v>
      </c>
      <c r="P14" s="72">
        <v>88.89</v>
      </c>
      <c r="Q14" s="73">
        <f>Punteggio!I14 - (3*FantaCulo!N14/100) + IF(Punteggio!I14=1,(FantaCulo!P14/100)-1, 0) - IF(Punteggio!I14=0,(FantaCulo!O14/100), 0)</f>
        <v>-0.11109999999999999</v>
      </c>
      <c r="R14" s="72">
        <v>100</v>
      </c>
      <c r="S14" s="72">
        <v>0</v>
      </c>
      <c r="T14" s="72">
        <v>0</v>
      </c>
      <c r="U14" s="73">
        <f>Punteggio!K14 - (3*FantaCulo!R14/100) + IF(Punteggio!K14=1,(FantaCulo!T14/100)-1, 0) - IF(Punteggio!K14=0,(FantaCulo!S14/100), 0)</f>
        <v>0</v>
      </c>
      <c r="V14" s="72">
        <v>22.22</v>
      </c>
      <c r="W14" s="72">
        <v>22.22</v>
      </c>
      <c r="X14" s="72">
        <v>55.56</v>
      </c>
      <c r="Y14" s="73">
        <f>Punteggio!M14 - (3*FantaCulo!V14/100) + IF(Punteggio!M14=1,(FantaCulo!X14/100)-1, 0) - IF(Punteggio!M14=0,(FantaCulo!W14/100), 0)</f>
        <v>-0.88879999999999992</v>
      </c>
      <c r="Z14" s="72">
        <v>55.55</v>
      </c>
      <c r="AA14" s="72">
        <v>33.33</v>
      </c>
      <c r="AB14" s="72">
        <v>11.12</v>
      </c>
      <c r="AC14" s="73">
        <f>Punteggio!O14 - (3*FantaCulo!Z14/100) + IF(Punteggio!O14=1,(FantaCulo!AB14/100)-1, 0) - IF(Punteggio!O14=0,(FantaCulo!AA14/100), 0)</f>
        <v>-1.5552999999999999</v>
      </c>
      <c r="AD14" s="72">
        <v>55.55</v>
      </c>
      <c r="AE14" s="72">
        <v>33.33</v>
      </c>
      <c r="AF14" s="72">
        <v>11.12</v>
      </c>
      <c r="AG14" s="73">
        <f>Punteggio!Q14 - (3*FantaCulo!AD14/100) + IF(Punteggio!Q14=1,(FantaCulo!AF14/100)-1, 0) - IF(Punteggio!Q14=0,(FantaCulo!AE14/100), 0)</f>
        <v>1.3335000000000001</v>
      </c>
      <c r="AH14" s="72">
        <v>22.22</v>
      </c>
      <c r="AI14" s="72">
        <v>22.22</v>
      </c>
      <c r="AJ14" s="72">
        <v>55.56</v>
      </c>
      <c r="AK14" s="73">
        <f>Punteggio!S14 - (3*FantaCulo!AH14/100) + IF(Punteggio!S14=1,(FantaCulo!AJ14/100)-1, 0) - IF(Punteggio!S14=0,(FantaCulo!AI14/100), 0)</f>
        <v>-0.88879999999999992</v>
      </c>
      <c r="AL14" s="72">
        <v>0</v>
      </c>
      <c r="AM14" s="72">
        <v>11.11</v>
      </c>
      <c r="AN14" s="72">
        <v>88.89</v>
      </c>
      <c r="AO14" s="73">
        <f>Punteggio!U14 - (3*FantaCulo!AL14/100) + IF(Punteggio!U14=1,(FantaCulo!AN14/100)-1, 0) - IF(Punteggio!U14=0,(FantaCulo!AM14/100), 0)</f>
        <v>-0.11109999999999999</v>
      </c>
    </row>
    <row r="15" spans="1:41" ht="15" x14ac:dyDescent="0.25">
      <c r="A15" s="76">
        <v>13</v>
      </c>
      <c r="B15" s="71">
        <v>88.88</v>
      </c>
      <c r="C15" s="71">
        <v>11.11</v>
      </c>
      <c r="D15" s="71">
        <v>0</v>
      </c>
      <c r="E15" s="43">
        <f>Punteggio!C15 - (3*FantaCulo!B15/100) + IF(Punteggio!C15=1,(FantaCulo!D15/100)-1, 0) - IF(Punteggio!C15=0,(FantaCulo!C15/100), 0)</f>
        <v>-2.6663999999999999</v>
      </c>
      <c r="F15" s="71">
        <v>0</v>
      </c>
      <c r="G15" s="71">
        <v>11.11</v>
      </c>
      <c r="H15" s="71">
        <v>88.89</v>
      </c>
      <c r="I15" s="43">
        <f>Punteggio!E15 - (3*FantaCulo!F15/100) + IF(Punteggio!E15=1,(FantaCulo!H15/100)-1, 0) - IF(Punteggio!E15=0,(FantaCulo!G15/100), 0)</f>
        <v>-0.11109999999999999</v>
      </c>
      <c r="J15" s="71">
        <v>22.22</v>
      </c>
      <c r="K15" s="71">
        <v>33.33</v>
      </c>
      <c r="L15" s="71">
        <v>44.45</v>
      </c>
      <c r="M15" s="43">
        <f>Punteggio!G15 - (3*FantaCulo!J15/100) + IF(Punteggio!G15=1,(FantaCulo!L15/100)-1, 0) - IF(Punteggio!G15=0,(FantaCulo!K15/100), 0)</f>
        <v>-0.22209999999999996</v>
      </c>
      <c r="N15" s="71">
        <v>66.66</v>
      </c>
      <c r="O15" s="71">
        <v>11.11</v>
      </c>
      <c r="P15" s="71">
        <v>22.23</v>
      </c>
      <c r="Q15" s="43">
        <f>Punteggio!I15 - (3*FantaCulo!N15/100) + IF(Punteggio!I15=1,(FantaCulo!P15/100)-1, 0) - IF(Punteggio!I15=0,(FantaCulo!O15/100), 0)</f>
        <v>1.0002000000000002</v>
      </c>
      <c r="R15" s="71">
        <v>22.22</v>
      </c>
      <c r="S15" s="71">
        <v>33.33</v>
      </c>
      <c r="T15" s="71">
        <v>44.45</v>
      </c>
      <c r="U15" s="43">
        <f>Punteggio!K15 - (3*FantaCulo!R15/100) + IF(Punteggio!K15=1,(FantaCulo!T15/100)-1, 0) - IF(Punteggio!K15=0,(FantaCulo!S15/100), 0)</f>
        <v>-0.22209999999999996</v>
      </c>
      <c r="V15" s="71">
        <v>88.88</v>
      </c>
      <c r="W15" s="71">
        <v>11.11</v>
      </c>
      <c r="X15" s="71">
        <v>0</v>
      </c>
      <c r="Y15" s="43">
        <f>Punteggio!M15 - (3*FantaCulo!V15/100) + IF(Punteggio!M15=1,(FantaCulo!X15/100)-1, 0) - IF(Punteggio!M15=0,(FantaCulo!W15/100), 0)</f>
        <v>-2.6663999999999999</v>
      </c>
      <c r="Z15" s="71">
        <v>22.22</v>
      </c>
      <c r="AA15" s="71">
        <v>33.33</v>
      </c>
      <c r="AB15" s="71">
        <v>44.45</v>
      </c>
      <c r="AC15" s="43">
        <f>Punteggio!O15 - (3*FantaCulo!Z15/100) + IF(Punteggio!O15=1,(FantaCulo!AB15/100)-1, 0) - IF(Punteggio!O15=0,(FantaCulo!AA15/100), 0)</f>
        <v>-0.22209999999999996</v>
      </c>
      <c r="AD15" s="71">
        <v>0</v>
      </c>
      <c r="AE15" s="71">
        <v>11.11</v>
      </c>
      <c r="AF15" s="71">
        <v>88.89</v>
      </c>
      <c r="AG15" s="43">
        <f>Punteggio!Q15 - (3*FantaCulo!AD15/100) + IF(Punteggio!Q15=1,(FantaCulo!AF15/100)-1, 0) - IF(Punteggio!Q15=0,(FantaCulo!AE15/100), 0)</f>
        <v>-0.11109999999999999</v>
      </c>
      <c r="AH15" s="71">
        <v>22.22</v>
      </c>
      <c r="AI15" s="71">
        <v>33.33</v>
      </c>
      <c r="AJ15" s="71">
        <v>44.45</v>
      </c>
      <c r="AK15" s="43">
        <f>Punteggio!S15 - (3*FantaCulo!AH15/100) + IF(Punteggio!S15=1,(FantaCulo!AJ15/100)-1, 0) - IF(Punteggio!S15=0,(FantaCulo!AI15/100), 0)</f>
        <v>-0.22209999999999996</v>
      </c>
      <c r="AL15" s="71">
        <v>66.66</v>
      </c>
      <c r="AM15" s="71">
        <v>11.11</v>
      </c>
      <c r="AN15" s="71">
        <v>22.23</v>
      </c>
      <c r="AO15" s="43">
        <f>Punteggio!U15 - (3*FantaCulo!AL15/100) + IF(Punteggio!U15=1,(FantaCulo!AN15/100)-1, 0) - IF(Punteggio!U15=0,(FantaCulo!AM15/100), 0)</f>
        <v>1.0002000000000002</v>
      </c>
    </row>
    <row r="16" spans="1:41" s="75" customFormat="1" ht="15" x14ac:dyDescent="0.25">
      <c r="A16" s="77">
        <v>14</v>
      </c>
      <c r="B16" s="72">
        <v>22.22</v>
      </c>
      <c r="C16" s="72">
        <v>22.22</v>
      </c>
      <c r="D16" s="72">
        <v>55.56</v>
      </c>
      <c r="E16" s="73">
        <f>Punteggio!C16 - (3*FantaCulo!B16/100) + IF(Punteggio!C16=1,(FantaCulo!D16/100)-1, 0) - IF(Punteggio!C16=0,(FantaCulo!C16/100), 0)</f>
        <v>2.3334000000000001</v>
      </c>
      <c r="F16" s="72">
        <v>55.55</v>
      </c>
      <c r="G16" s="72">
        <v>22.22</v>
      </c>
      <c r="H16" s="72">
        <v>22.23</v>
      </c>
      <c r="I16" s="73">
        <f>Punteggio!E16 - (3*FantaCulo!F16/100) + IF(Punteggio!E16=1,(FantaCulo!H16/100)-1, 0) - IF(Punteggio!E16=0,(FantaCulo!G16/100), 0)</f>
        <v>1.3335000000000001</v>
      </c>
      <c r="J16" s="72">
        <v>55.55</v>
      </c>
      <c r="K16" s="72">
        <v>22.22</v>
      </c>
      <c r="L16" s="72">
        <v>22.23</v>
      </c>
      <c r="M16" s="73">
        <f>Punteggio!G16 - (3*FantaCulo!J16/100) + IF(Punteggio!G16=1,(FantaCulo!L16/100)-1, 0) - IF(Punteggio!G16=0,(FantaCulo!K16/100), 0)</f>
        <v>1.3335000000000001</v>
      </c>
      <c r="N16" s="72">
        <v>11.11</v>
      </c>
      <c r="O16" s="72">
        <v>0</v>
      </c>
      <c r="P16" s="72">
        <v>88.89</v>
      </c>
      <c r="Q16" s="73">
        <f>Punteggio!I16 - (3*FantaCulo!N16/100) + IF(Punteggio!I16=1,(FantaCulo!P16/100)-1, 0) - IF(Punteggio!I16=0,(FantaCulo!O16/100), 0)</f>
        <v>-0.33329999999999999</v>
      </c>
      <c r="R16" s="72">
        <v>55.55</v>
      </c>
      <c r="S16" s="72">
        <v>22.22</v>
      </c>
      <c r="T16" s="72">
        <v>22.23</v>
      </c>
      <c r="U16" s="73">
        <f>Punteggio!K16 - (3*FantaCulo!R16/100) + IF(Punteggio!K16=1,(FantaCulo!T16/100)-1, 0) - IF(Punteggio!K16=0,(FantaCulo!S16/100), 0)</f>
        <v>-1.8886999999999998</v>
      </c>
      <c r="V16" s="72">
        <v>22.22</v>
      </c>
      <c r="W16" s="72">
        <v>22.22</v>
      </c>
      <c r="X16" s="72">
        <v>55.56</v>
      </c>
      <c r="Y16" s="73">
        <f>Punteggio!M16 - (3*FantaCulo!V16/100) + IF(Punteggio!M16=1,(FantaCulo!X16/100)-1, 0) - IF(Punteggio!M16=0,(FantaCulo!W16/100), 0)</f>
        <v>-0.88879999999999992</v>
      </c>
      <c r="Z16" s="72">
        <v>88.88</v>
      </c>
      <c r="AA16" s="72">
        <v>11.12</v>
      </c>
      <c r="AB16" s="72">
        <v>0</v>
      </c>
      <c r="AC16" s="73">
        <f>Punteggio!O16 - (3*FantaCulo!Z16/100) + IF(Punteggio!O16=1,(FantaCulo!AB16/100)-1, 0) - IF(Punteggio!O16=0,(FantaCulo!AA16/100), 0)</f>
        <v>0.33360000000000012</v>
      </c>
      <c r="AD16" s="72">
        <v>0</v>
      </c>
      <c r="AE16" s="72">
        <v>0</v>
      </c>
      <c r="AF16" s="72">
        <v>100</v>
      </c>
      <c r="AG16" s="73">
        <f>Punteggio!Q16 - (3*FantaCulo!AD16/100) + IF(Punteggio!Q16=1,(FantaCulo!AF16/100)-1, 0) - IF(Punteggio!Q16=0,(FantaCulo!AE16/100), 0)</f>
        <v>0</v>
      </c>
      <c r="AH16" s="72">
        <v>22.22</v>
      </c>
      <c r="AI16" s="72">
        <v>22.22</v>
      </c>
      <c r="AJ16" s="72">
        <v>55.56</v>
      </c>
      <c r="AK16" s="73">
        <f>Punteggio!S16 - (3*FantaCulo!AH16/100) + IF(Punteggio!S16=1,(FantaCulo!AJ16/100)-1, 0) - IF(Punteggio!S16=0,(FantaCulo!AI16/100), 0)</f>
        <v>-0.88879999999999992</v>
      </c>
      <c r="AL16" s="72">
        <v>88.88</v>
      </c>
      <c r="AM16" s="72">
        <v>11.12</v>
      </c>
      <c r="AN16" s="72">
        <v>0</v>
      </c>
      <c r="AO16" s="73">
        <f>Punteggio!U16 - (3*FantaCulo!AL16/100) + IF(Punteggio!U16=1,(FantaCulo!AN16/100)-1, 0) - IF(Punteggio!U16=0,(FantaCulo!AM16/100), 0)</f>
        <v>0.33360000000000012</v>
      </c>
    </row>
    <row r="17" spans="1:41" ht="15" x14ac:dyDescent="0.25">
      <c r="A17" s="76">
        <v>15</v>
      </c>
      <c r="B17" s="71">
        <v>55.55</v>
      </c>
      <c r="C17" s="71">
        <v>22.22</v>
      </c>
      <c r="D17" s="71">
        <v>22.23</v>
      </c>
      <c r="E17" s="43">
        <f>Punteggio!C17 - (3*FantaCulo!B17/100) + IF(Punteggio!C17=1,(FantaCulo!D17/100)-1, 0) - IF(Punteggio!C17=0,(FantaCulo!C17/100), 0)</f>
        <v>-1.4441999999999999</v>
      </c>
      <c r="F17" s="71">
        <v>88.88</v>
      </c>
      <c r="G17" s="71">
        <v>0</v>
      </c>
      <c r="H17" s="71">
        <v>11.12</v>
      </c>
      <c r="I17" s="43">
        <f>Punteggio!E17 - (3*FantaCulo!F17/100) + IF(Punteggio!E17=1,(FantaCulo!H17/100)-1, 0) - IF(Punteggio!E17=0,(FantaCulo!G17/100), 0)</f>
        <v>0.33360000000000012</v>
      </c>
      <c r="J17" s="71">
        <v>55.55</v>
      </c>
      <c r="K17" s="71">
        <v>22.22</v>
      </c>
      <c r="L17" s="71">
        <v>22.23</v>
      </c>
      <c r="M17" s="43">
        <f>Punteggio!G17 - (3*FantaCulo!J17/100) + IF(Punteggio!G17=1,(FantaCulo!L17/100)-1, 0) - IF(Punteggio!G17=0,(FantaCulo!K17/100), 0)</f>
        <v>-1.4441999999999999</v>
      </c>
      <c r="N17" s="71">
        <v>11.11</v>
      </c>
      <c r="O17" s="71">
        <v>33.33</v>
      </c>
      <c r="P17" s="71">
        <v>55.56</v>
      </c>
      <c r="Q17" s="43">
        <f>Punteggio!I17 - (3*FantaCulo!N17/100) + IF(Punteggio!I17=1,(FantaCulo!P17/100)-1, 0) - IF(Punteggio!I17=0,(FantaCulo!O17/100), 0)</f>
        <v>0.22230000000000005</v>
      </c>
      <c r="R17" s="71">
        <v>11.11</v>
      </c>
      <c r="S17" s="71">
        <v>33.33</v>
      </c>
      <c r="T17" s="71">
        <v>55.56</v>
      </c>
      <c r="U17" s="43">
        <f>Punteggio!K17 - (3*FantaCulo!R17/100) + IF(Punteggio!K17=1,(FantaCulo!T17/100)-1, 0) - IF(Punteggio!K17=0,(FantaCulo!S17/100), 0)</f>
        <v>-0.66659999999999997</v>
      </c>
      <c r="V17" s="71">
        <v>55.55</v>
      </c>
      <c r="W17" s="71">
        <v>22.22</v>
      </c>
      <c r="X17" s="71">
        <v>22.23</v>
      </c>
      <c r="Y17" s="43">
        <f>Punteggio!M17 - (3*FantaCulo!V17/100) + IF(Punteggio!M17=1,(FantaCulo!X17/100)-1, 0) - IF(Punteggio!M17=0,(FantaCulo!W17/100), 0)</f>
        <v>-1.8886999999999998</v>
      </c>
      <c r="Z17" s="71">
        <v>0</v>
      </c>
      <c r="AA17" s="71">
        <v>0</v>
      </c>
      <c r="AB17" s="71">
        <v>100</v>
      </c>
      <c r="AC17" s="43">
        <f>Punteggio!O17 - (3*FantaCulo!Z17/100) + IF(Punteggio!O17=1,(FantaCulo!AB17/100)-1, 0) - IF(Punteggio!O17=0,(FantaCulo!AA17/100), 0)</f>
        <v>0</v>
      </c>
      <c r="AD17" s="71">
        <v>11.11</v>
      </c>
      <c r="AE17" s="71">
        <v>33.33</v>
      </c>
      <c r="AF17" s="71">
        <v>55.56</v>
      </c>
      <c r="AG17" s="43">
        <f>Punteggio!Q17 - (3*FantaCulo!AD17/100) + IF(Punteggio!Q17=1,(FantaCulo!AF17/100)-1, 0) - IF(Punteggio!Q17=0,(FantaCulo!AE17/100), 0)</f>
        <v>2.6667000000000001</v>
      </c>
      <c r="AH17" s="71">
        <v>100</v>
      </c>
      <c r="AI17" s="71">
        <v>0</v>
      </c>
      <c r="AJ17" s="71">
        <v>0</v>
      </c>
      <c r="AK17" s="43">
        <f>Punteggio!S17 - (3*FantaCulo!AH17/100) + IF(Punteggio!S17=1,(FantaCulo!AJ17/100)-1, 0) - IF(Punteggio!S17=0,(FantaCulo!AI17/100), 0)</f>
        <v>0</v>
      </c>
      <c r="AL17" s="71">
        <v>11.11</v>
      </c>
      <c r="AM17" s="71">
        <v>33.33</v>
      </c>
      <c r="AN17" s="71">
        <v>55.56</v>
      </c>
      <c r="AO17" s="43">
        <f>Punteggio!U17 - (3*FantaCulo!AL17/100) + IF(Punteggio!U17=1,(FantaCulo!AN17/100)-1, 0) - IF(Punteggio!U17=0,(FantaCulo!AM17/100), 0)</f>
        <v>0.22230000000000005</v>
      </c>
    </row>
    <row r="18" spans="1:41" s="75" customFormat="1" ht="15" x14ac:dyDescent="0.25">
      <c r="A18" s="77">
        <v>16</v>
      </c>
      <c r="B18" s="72">
        <v>33.33</v>
      </c>
      <c r="C18" s="72">
        <v>44.44</v>
      </c>
      <c r="D18" s="72">
        <v>22.23</v>
      </c>
      <c r="E18" s="73">
        <f>Punteggio!C18 - (3*FantaCulo!B18/100) + IF(Punteggio!C18=1,(FantaCulo!D18/100)-1, 0) - IF(Punteggio!C18=0,(FantaCulo!C18/100), 0)</f>
        <v>-0.77759999999999996</v>
      </c>
      <c r="F18" s="72">
        <v>0</v>
      </c>
      <c r="G18" s="72">
        <v>22.22</v>
      </c>
      <c r="H18" s="72">
        <v>77.78</v>
      </c>
      <c r="I18" s="73">
        <f>Punteggio!E18 - (3*FantaCulo!F18/100) + IF(Punteggio!E18=1,(FantaCulo!H18/100)-1, 0) - IF(Punteggio!E18=0,(FantaCulo!G18/100), 0)</f>
        <v>-0.22219999999999998</v>
      </c>
      <c r="J18" s="72">
        <v>0</v>
      </c>
      <c r="K18" s="72">
        <v>22.22</v>
      </c>
      <c r="L18" s="72">
        <v>77.78</v>
      </c>
      <c r="M18" s="73">
        <f>Punteggio!G18 - (3*FantaCulo!J18/100) + IF(Punteggio!G18=1,(FantaCulo!L18/100)-1, 0) - IF(Punteggio!G18=0,(FantaCulo!K18/100), 0)</f>
        <v>-0.22219999999999998</v>
      </c>
      <c r="N18" s="72">
        <v>88.88</v>
      </c>
      <c r="O18" s="72">
        <v>11.12</v>
      </c>
      <c r="P18" s="72">
        <v>0</v>
      </c>
      <c r="Q18" s="73">
        <f>Punteggio!I18 - (3*FantaCulo!N18/100) + IF(Punteggio!I18=1,(FantaCulo!P18/100)-1, 0) - IF(Punteggio!I18=0,(FantaCulo!O18/100), 0)</f>
        <v>0.33360000000000012</v>
      </c>
      <c r="R18" s="72">
        <v>88.88</v>
      </c>
      <c r="S18" s="72">
        <v>11.12</v>
      </c>
      <c r="T18" s="72">
        <v>0</v>
      </c>
      <c r="U18" s="73">
        <f>Punteggio!K18 - (3*FantaCulo!R18/100) + IF(Punteggio!K18=1,(FantaCulo!T18/100)-1, 0) - IF(Punteggio!K18=0,(FantaCulo!S18/100), 0)</f>
        <v>0.33360000000000012</v>
      </c>
      <c r="V18" s="72">
        <v>0</v>
      </c>
      <c r="W18" s="72">
        <v>22.22</v>
      </c>
      <c r="X18" s="72">
        <v>77.78</v>
      </c>
      <c r="Y18" s="73">
        <f>Punteggio!M18 - (3*FantaCulo!V18/100) + IF(Punteggio!M18=1,(FantaCulo!X18/100)-1, 0) - IF(Punteggio!M18=0,(FantaCulo!W18/100), 0)</f>
        <v>-0.22219999999999998</v>
      </c>
      <c r="Z18" s="72">
        <v>33.33</v>
      </c>
      <c r="AA18" s="72">
        <v>44.44</v>
      </c>
      <c r="AB18" s="72">
        <v>22.23</v>
      </c>
      <c r="AC18" s="73">
        <f>Punteggio!O18 - (3*FantaCulo!Z18/100) + IF(Punteggio!O18=1,(FantaCulo!AB18/100)-1, 0) - IF(Punteggio!O18=0,(FantaCulo!AA18/100), 0)</f>
        <v>-0.77759999999999996</v>
      </c>
      <c r="AD18" s="72">
        <v>33.33</v>
      </c>
      <c r="AE18" s="72">
        <v>44.44</v>
      </c>
      <c r="AF18" s="72">
        <v>22.23</v>
      </c>
      <c r="AG18" s="73">
        <f>Punteggio!Q18 - (3*FantaCulo!AD18/100) + IF(Punteggio!Q18=1,(FantaCulo!AF18/100)-1, 0) - IF(Punteggio!Q18=0,(FantaCulo!AE18/100), 0)</f>
        <v>-0.77759999999999996</v>
      </c>
      <c r="AH18" s="72">
        <v>33.33</v>
      </c>
      <c r="AI18" s="72">
        <v>44.44</v>
      </c>
      <c r="AJ18" s="72">
        <v>22.23</v>
      </c>
      <c r="AK18" s="73">
        <f>Punteggio!S18 - (3*FantaCulo!AH18/100) + IF(Punteggio!S18=1,(FantaCulo!AJ18/100)-1, 0) - IF(Punteggio!S18=0,(FantaCulo!AI18/100), 0)</f>
        <v>-0.77759999999999996</v>
      </c>
      <c r="AL18" s="72">
        <v>33.33</v>
      </c>
      <c r="AM18" s="72">
        <v>44.44</v>
      </c>
      <c r="AN18" s="72">
        <v>22.23</v>
      </c>
      <c r="AO18" s="73">
        <f>Punteggio!U18 - (3*FantaCulo!AL18/100) + IF(Punteggio!U18=1,(FantaCulo!AN18/100)-1, 0) - IF(Punteggio!U18=0,(FantaCulo!AM18/100), 0)</f>
        <v>2.0001000000000002</v>
      </c>
    </row>
    <row r="19" spans="1:41" ht="15" x14ac:dyDescent="0.25">
      <c r="A19" s="76">
        <v>17</v>
      </c>
      <c r="B19" s="71">
        <v>55.55</v>
      </c>
      <c r="C19" s="71">
        <v>33.33</v>
      </c>
      <c r="D19" s="71">
        <v>11.12</v>
      </c>
      <c r="E19" s="43">
        <f>Punteggio!C19 - (3*FantaCulo!B19/100) + IF(Punteggio!C19=1,(FantaCulo!D19/100)-1, 0) - IF(Punteggio!C19=0,(FantaCulo!C19/100), 0)</f>
        <v>1.3335000000000001</v>
      </c>
      <c r="F19" s="71">
        <v>100</v>
      </c>
      <c r="G19" s="71">
        <v>0</v>
      </c>
      <c r="H19" s="71">
        <v>0</v>
      </c>
      <c r="I19" s="43">
        <f>Punteggio!E19 - (3*FantaCulo!F19/100) + IF(Punteggio!E19=1,(FantaCulo!H19/100)-1, 0) - IF(Punteggio!E19=0,(FantaCulo!G19/100), 0)</f>
        <v>0</v>
      </c>
      <c r="J19" s="71">
        <v>0</v>
      </c>
      <c r="K19" s="71">
        <v>22.22</v>
      </c>
      <c r="L19" s="71">
        <v>77.78</v>
      </c>
      <c r="M19" s="43">
        <f>Punteggio!G19 - (3*FantaCulo!J19/100) + IF(Punteggio!G19=1,(FantaCulo!L19/100)-1, 0) - IF(Punteggio!G19=0,(FantaCulo!K19/100), 0)</f>
        <v>-0.22219999999999998</v>
      </c>
      <c r="N19" s="71">
        <v>0</v>
      </c>
      <c r="O19" s="71">
        <v>22.22</v>
      </c>
      <c r="P19" s="71">
        <v>77.78</v>
      </c>
      <c r="Q19" s="43">
        <f>Punteggio!I19 - (3*FantaCulo!N19/100) + IF(Punteggio!I19=1,(FantaCulo!P19/100)-1, 0) - IF(Punteggio!I19=0,(FantaCulo!O19/100), 0)</f>
        <v>-0.22219999999999998</v>
      </c>
      <c r="R19" s="71">
        <v>55.55</v>
      </c>
      <c r="S19" s="71">
        <v>33.33</v>
      </c>
      <c r="T19" s="71">
        <v>11.12</v>
      </c>
      <c r="U19" s="43">
        <f>Punteggio!K19 - (3*FantaCulo!R19/100) + IF(Punteggio!K19=1,(FantaCulo!T19/100)-1, 0) - IF(Punteggio!K19=0,(FantaCulo!S19/100), 0)</f>
        <v>1.3335000000000001</v>
      </c>
      <c r="V19" s="71">
        <v>55.55</v>
      </c>
      <c r="W19" s="71">
        <v>33.33</v>
      </c>
      <c r="X19" s="71">
        <v>11.12</v>
      </c>
      <c r="Y19" s="43">
        <f>Punteggio!M19 - (3*FantaCulo!V19/100) + IF(Punteggio!M19=1,(FantaCulo!X19/100)-1, 0) - IF(Punteggio!M19=0,(FantaCulo!W19/100), 0)</f>
        <v>1.3335000000000001</v>
      </c>
      <c r="Z19" s="71">
        <v>55.55</v>
      </c>
      <c r="AA19" s="71">
        <v>33.33</v>
      </c>
      <c r="AB19" s="71">
        <v>11.12</v>
      </c>
      <c r="AC19" s="43">
        <f>Punteggio!O19 - (3*FantaCulo!Z19/100) + IF(Punteggio!O19=1,(FantaCulo!AB19/100)-1, 0) - IF(Punteggio!O19=0,(FantaCulo!AA19/100), 0)</f>
        <v>1.3335000000000001</v>
      </c>
      <c r="AD19" s="71">
        <v>33.33</v>
      </c>
      <c r="AE19" s="71">
        <v>11.11</v>
      </c>
      <c r="AF19" s="71">
        <v>55.56</v>
      </c>
      <c r="AG19" s="43">
        <f>Punteggio!Q19 - (3*FantaCulo!AD19/100) + IF(Punteggio!Q19=1,(FantaCulo!AF19/100)-1, 0) - IF(Punteggio!Q19=0,(FantaCulo!AE19/100), 0)</f>
        <v>-1.111</v>
      </c>
      <c r="AH19" s="71">
        <v>33.33</v>
      </c>
      <c r="AI19" s="71">
        <v>11.11</v>
      </c>
      <c r="AJ19" s="71">
        <v>55.56</v>
      </c>
      <c r="AK19" s="43">
        <f>Punteggio!S19 - (3*FantaCulo!AH19/100) + IF(Punteggio!S19=1,(FantaCulo!AJ19/100)-1, 0) - IF(Punteggio!S19=0,(FantaCulo!AI19/100), 0)</f>
        <v>-1.111</v>
      </c>
      <c r="AL19" s="71">
        <v>0</v>
      </c>
      <c r="AM19" s="71">
        <v>22.22</v>
      </c>
      <c r="AN19" s="71">
        <v>77.78</v>
      </c>
      <c r="AO19" s="43">
        <f>Punteggio!U19 - (3*FantaCulo!AL19/100) + IF(Punteggio!U19=1,(FantaCulo!AN19/100)-1, 0) - IF(Punteggio!U19=0,(FantaCulo!AM19/100), 0)</f>
        <v>-0.22219999999999998</v>
      </c>
    </row>
    <row r="20" spans="1:41" s="75" customFormat="1" ht="15" x14ac:dyDescent="0.25">
      <c r="A20" s="77">
        <v>18</v>
      </c>
      <c r="B20" s="72">
        <v>0</v>
      </c>
      <c r="C20" s="72">
        <v>55.55</v>
      </c>
      <c r="D20" s="72">
        <v>44.45</v>
      </c>
      <c r="E20" s="73">
        <f>Punteggio!C20 - (3*FantaCulo!B20/100) + IF(Punteggio!C20=1,(FantaCulo!D20/100)-1, 0) - IF(Punteggio!C20=0,(FantaCulo!C20/100), 0)</f>
        <v>0.44450000000000001</v>
      </c>
      <c r="F20" s="72">
        <v>66.66</v>
      </c>
      <c r="G20" s="72">
        <v>22.22</v>
      </c>
      <c r="H20" s="72">
        <v>11.12</v>
      </c>
      <c r="I20" s="73">
        <f>Punteggio!E20 - (3*FantaCulo!F20/100) + IF(Punteggio!E20=1,(FantaCulo!H20/100)-1, 0) - IF(Punteggio!E20=0,(FantaCulo!G20/100), 0)</f>
        <v>1.0002000000000002</v>
      </c>
      <c r="J20" s="72">
        <v>0</v>
      </c>
      <c r="K20" s="72">
        <v>55.55</v>
      </c>
      <c r="L20" s="72">
        <v>44.45</v>
      </c>
      <c r="M20" s="73">
        <f>Punteggio!G20 - (3*FantaCulo!J20/100) + IF(Punteggio!G20=1,(FantaCulo!L20/100)-1, 0) - IF(Punteggio!G20=0,(FantaCulo!K20/100), 0)</f>
        <v>0.44450000000000001</v>
      </c>
      <c r="N20" s="72">
        <v>0</v>
      </c>
      <c r="O20" s="72">
        <v>55.55</v>
      </c>
      <c r="P20" s="72">
        <v>44.45</v>
      </c>
      <c r="Q20" s="73">
        <f>Punteggio!I20 - (3*FantaCulo!N20/100) + IF(Punteggio!I20=1,(FantaCulo!P20/100)-1, 0) - IF(Punteggio!I20=0,(FantaCulo!O20/100), 0)</f>
        <v>0.44450000000000001</v>
      </c>
      <c r="R20" s="72">
        <v>0</v>
      </c>
      <c r="S20" s="72">
        <v>55.55</v>
      </c>
      <c r="T20" s="72">
        <v>44.45</v>
      </c>
      <c r="U20" s="73">
        <f>Punteggio!K20 - (3*FantaCulo!R20/100) + IF(Punteggio!K20=1,(FantaCulo!T20/100)-1, 0) - IF(Punteggio!K20=0,(FantaCulo!S20/100), 0)</f>
        <v>0.44450000000000001</v>
      </c>
      <c r="V20" s="72">
        <v>0</v>
      </c>
      <c r="W20" s="72">
        <v>55.55</v>
      </c>
      <c r="X20" s="72">
        <v>44.45</v>
      </c>
      <c r="Y20" s="73">
        <f>Punteggio!M20 - (3*FantaCulo!V20/100) + IF(Punteggio!M20=1,(FantaCulo!X20/100)-1, 0) - IF(Punteggio!M20=0,(FantaCulo!W20/100), 0)</f>
        <v>-0.55549999999999999</v>
      </c>
      <c r="Z20" s="72">
        <v>66.66</v>
      </c>
      <c r="AA20" s="72">
        <v>22.22</v>
      </c>
      <c r="AB20" s="72">
        <v>11.12</v>
      </c>
      <c r="AC20" s="73">
        <f>Punteggio!O20 - (3*FantaCulo!Z20/100) + IF(Punteggio!O20=1,(FantaCulo!AB20/100)-1, 0) - IF(Punteggio!O20=0,(FantaCulo!AA20/100), 0)</f>
        <v>1.0002000000000002</v>
      </c>
      <c r="AD20" s="72">
        <v>0</v>
      </c>
      <c r="AE20" s="72">
        <v>55.55</v>
      </c>
      <c r="AF20" s="72">
        <v>44.45</v>
      </c>
      <c r="AG20" s="73">
        <f>Punteggio!Q20 - (3*FantaCulo!AD20/100) + IF(Punteggio!Q20=1,(FantaCulo!AF20/100)-1, 0) - IF(Punteggio!Q20=0,(FantaCulo!AE20/100), 0)</f>
        <v>-0.55549999999999999</v>
      </c>
      <c r="AH20" s="72">
        <v>66.66</v>
      </c>
      <c r="AI20" s="72">
        <v>22.22</v>
      </c>
      <c r="AJ20" s="72">
        <v>11.12</v>
      </c>
      <c r="AK20" s="73">
        <f>Punteggio!S20 - (3*FantaCulo!AH20/100) + IF(Punteggio!S20=1,(FantaCulo!AJ20/100)-1, 0) - IF(Punteggio!S20=0,(FantaCulo!AI20/100), 0)</f>
        <v>-2.222</v>
      </c>
      <c r="AL20" s="72">
        <v>100</v>
      </c>
      <c r="AM20" s="72">
        <v>0</v>
      </c>
      <c r="AN20" s="72">
        <v>0</v>
      </c>
      <c r="AO20" s="73">
        <f>Punteggio!U20 - (3*FantaCulo!AL20/100) + IF(Punteggio!U20=1,(FantaCulo!AN20/100)-1, 0) - IF(Punteggio!U20=0,(FantaCulo!AM20/100), 0)</f>
        <v>0</v>
      </c>
    </row>
    <row r="21" spans="1:41" s="256" customFormat="1" ht="15" x14ac:dyDescent="0.25">
      <c r="A21" s="76">
        <v>19</v>
      </c>
      <c r="B21" s="71">
        <v>55.55</v>
      </c>
      <c r="C21" s="71">
        <v>22.22</v>
      </c>
      <c r="D21" s="71">
        <v>22.23</v>
      </c>
      <c r="E21" s="43">
        <f>Punteggio!C21 - (3*FantaCulo!B21/100) + IF(Punteggio!C21=1,(FantaCulo!D21/100)-1, 0) - IF(Punteggio!C21=0,(FantaCulo!C21/100), 0)</f>
        <v>1.3335000000000001</v>
      </c>
      <c r="F21" s="71">
        <v>0</v>
      </c>
      <c r="G21" s="71">
        <v>0</v>
      </c>
      <c r="H21" s="71">
        <v>100</v>
      </c>
      <c r="I21" s="43">
        <f>Punteggio!E21 - (3*FantaCulo!F21/100) + IF(Punteggio!E21=1,(FantaCulo!H21/100)-1, 0) - IF(Punteggio!E21=0,(FantaCulo!G21/100), 0)</f>
        <v>0</v>
      </c>
      <c r="J21" s="71">
        <v>55.55</v>
      </c>
      <c r="K21" s="71">
        <v>22.22</v>
      </c>
      <c r="L21" s="71">
        <v>22.23</v>
      </c>
      <c r="M21" s="43">
        <f>Punteggio!G21 - (3*FantaCulo!J21/100) + IF(Punteggio!G21=1,(FantaCulo!L21/100)-1, 0) - IF(Punteggio!G21=0,(FantaCulo!K21/100), 0)</f>
        <v>1.3335000000000001</v>
      </c>
      <c r="N21" s="71">
        <v>55.55</v>
      </c>
      <c r="O21" s="71">
        <v>22.22</v>
      </c>
      <c r="P21" s="71">
        <v>22.23</v>
      </c>
      <c r="Q21" s="43">
        <f>Punteggio!I21 - (3*FantaCulo!N21/100) + IF(Punteggio!I21=1,(FantaCulo!P21/100)-1, 0) - IF(Punteggio!I21=0,(FantaCulo!O21/100), 0)</f>
        <v>-1.8886999999999998</v>
      </c>
      <c r="R21" s="71">
        <v>22.22</v>
      </c>
      <c r="S21" s="71">
        <v>22.22</v>
      </c>
      <c r="T21" s="71">
        <v>55.56</v>
      </c>
      <c r="U21" s="43">
        <f>Punteggio!K21 - (3*FantaCulo!R21/100) + IF(Punteggio!K21=1,(FantaCulo!T21/100)-1, 0) - IF(Punteggio!K21=0,(FantaCulo!S21/100), 0)</f>
        <v>-0.88879999999999992</v>
      </c>
      <c r="V21" s="71">
        <v>22.22</v>
      </c>
      <c r="W21" s="71">
        <v>22.22</v>
      </c>
      <c r="X21" s="71">
        <v>55.56</v>
      </c>
      <c r="Y21" s="43">
        <f>Punteggio!M21 - (3*FantaCulo!V21/100) + IF(Punteggio!M21=1,(FantaCulo!X21/100)-1, 0) - IF(Punteggio!M21=0,(FantaCulo!W21/100), 0)</f>
        <v>2.3334000000000001</v>
      </c>
      <c r="Z21" s="71">
        <v>88.88</v>
      </c>
      <c r="AA21" s="71">
        <v>0</v>
      </c>
      <c r="AB21" s="71">
        <v>11.12</v>
      </c>
      <c r="AC21" s="43">
        <f>Punteggio!O21 - (3*FantaCulo!Z21/100) + IF(Punteggio!O21=1,(FantaCulo!AB21/100)-1, 0) - IF(Punteggio!O21=0,(FantaCulo!AA21/100), 0)</f>
        <v>0.33360000000000012</v>
      </c>
      <c r="AD21" s="71">
        <v>22.22</v>
      </c>
      <c r="AE21" s="71">
        <v>22.22</v>
      </c>
      <c r="AF21" s="71">
        <v>55.56</v>
      </c>
      <c r="AG21" s="43">
        <f>Punteggio!Q21 - (3*FantaCulo!AD21/100) + IF(Punteggio!Q21=1,(FantaCulo!AF21/100)-1, 0) - IF(Punteggio!Q21=0,(FantaCulo!AE21/100), 0)</f>
        <v>-0.88879999999999992</v>
      </c>
      <c r="AH21" s="71">
        <v>11.11</v>
      </c>
      <c r="AI21" s="71">
        <v>0</v>
      </c>
      <c r="AJ21" s="71">
        <v>88.89</v>
      </c>
      <c r="AK21" s="43">
        <f>Punteggio!S21 - (3*FantaCulo!AH21/100) + IF(Punteggio!S21=1,(FantaCulo!AJ21/100)-1, 0) - IF(Punteggio!S21=0,(FantaCulo!AI21/100), 0)</f>
        <v>-0.33329999999999999</v>
      </c>
      <c r="AL21" s="71">
        <v>100</v>
      </c>
      <c r="AM21" s="71">
        <v>0</v>
      </c>
      <c r="AN21" s="71">
        <v>0</v>
      </c>
      <c r="AO21" s="43">
        <f>Punteggio!U21 - (3*FantaCulo!AL21/100) + IF(Punteggio!U21=1,(FantaCulo!AN21/100)-1, 0) - IF(Punteggio!U21=0,(FantaCulo!AM21/100), 0)</f>
        <v>0</v>
      </c>
    </row>
    <row r="22" spans="1:41" s="75" customFormat="1" ht="15" x14ac:dyDescent="0.25">
      <c r="A22" s="77">
        <v>20</v>
      </c>
      <c r="B22" s="72">
        <v>22.22</v>
      </c>
      <c r="C22" s="72">
        <v>44.44</v>
      </c>
      <c r="D22" s="72">
        <v>33.340000000000003</v>
      </c>
      <c r="E22" s="73">
        <f>Punteggio!C22 - (3*FantaCulo!B22/100) + IF(Punteggio!C22=1,(FantaCulo!D22/100)-1, 0) - IF(Punteggio!C22=0,(FantaCulo!C22/100), 0)</f>
        <v>-0.33319999999999994</v>
      </c>
      <c r="F22" s="72">
        <v>22.22</v>
      </c>
      <c r="G22" s="72">
        <v>44.44</v>
      </c>
      <c r="H22" s="72">
        <v>33.340000000000003</v>
      </c>
      <c r="I22" s="73">
        <f>Punteggio!E22 - (3*FantaCulo!F22/100) + IF(Punteggio!E22=1,(FantaCulo!H22/100)-1, 0) - IF(Punteggio!E22=0,(FantaCulo!G22/100), 0)</f>
        <v>-0.33319999999999994</v>
      </c>
      <c r="J22" s="72">
        <v>77.77</v>
      </c>
      <c r="K22" s="72">
        <v>0</v>
      </c>
      <c r="L22" s="72">
        <v>22.23</v>
      </c>
      <c r="M22" s="73">
        <f>Punteggio!G22 - (3*FantaCulo!J22/100) + IF(Punteggio!G22=1,(FantaCulo!L22/100)-1, 0) - IF(Punteggio!G22=0,(FantaCulo!K22/100), 0)</f>
        <v>0.66690000000000005</v>
      </c>
      <c r="N22" s="72">
        <v>0</v>
      </c>
      <c r="O22" s="72">
        <v>11.11</v>
      </c>
      <c r="P22" s="72">
        <v>88.89</v>
      </c>
      <c r="Q22" s="73">
        <f>Punteggio!I22 - (3*FantaCulo!N22/100) + IF(Punteggio!I22=1,(FantaCulo!P22/100)-1, 0) - IF(Punteggio!I22=0,(FantaCulo!O22/100), 0)</f>
        <v>-0.11109999999999999</v>
      </c>
      <c r="R22" s="72">
        <v>22.22</v>
      </c>
      <c r="S22" s="72">
        <v>44.44</v>
      </c>
      <c r="T22" s="72">
        <v>33.340000000000003</v>
      </c>
      <c r="U22" s="73">
        <f>Punteggio!K22 - (3*FantaCulo!R22/100) + IF(Punteggio!K22=1,(FantaCulo!T22/100)-1, 0) - IF(Punteggio!K22=0,(FantaCulo!S22/100), 0)</f>
        <v>-1.111</v>
      </c>
      <c r="V22" s="72">
        <v>88.88</v>
      </c>
      <c r="W22" s="72">
        <v>11.12</v>
      </c>
      <c r="X22" s="72">
        <v>0</v>
      </c>
      <c r="Y22" s="73">
        <f>Punteggio!M22 - (3*FantaCulo!V22/100) + IF(Punteggio!M22=1,(FantaCulo!X22/100)-1, 0) - IF(Punteggio!M22=0,(FantaCulo!W22/100), 0)</f>
        <v>0.33360000000000012</v>
      </c>
      <c r="Z22" s="72">
        <v>22.22</v>
      </c>
      <c r="AA22" s="72">
        <v>44.44</v>
      </c>
      <c r="AB22" s="72">
        <v>33.340000000000003</v>
      </c>
      <c r="AC22" s="73">
        <f>Punteggio!O22 - (3*FantaCulo!Z22/100) + IF(Punteggio!O22=1,(FantaCulo!AB22/100)-1, 0) - IF(Punteggio!O22=0,(FantaCulo!AA22/100), 0)</f>
        <v>-1.111</v>
      </c>
      <c r="AD22" s="72">
        <v>88.88</v>
      </c>
      <c r="AE22" s="72">
        <v>11.12</v>
      </c>
      <c r="AF22" s="72">
        <v>0</v>
      </c>
      <c r="AG22" s="73">
        <f>Punteggio!Q22 - (3*FantaCulo!AD22/100) + IF(Punteggio!Q22=1,(FantaCulo!AF22/100)-1, 0) - IF(Punteggio!Q22=0,(FantaCulo!AE22/100), 0)</f>
        <v>0.33360000000000012</v>
      </c>
      <c r="AH22" s="72">
        <v>22.22</v>
      </c>
      <c r="AI22" s="72">
        <v>44.44</v>
      </c>
      <c r="AJ22" s="72">
        <v>33.340000000000003</v>
      </c>
      <c r="AK22" s="73">
        <f>Punteggio!S22 - (3*FantaCulo!AH22/100) + IF(Punteggio!S22=1,(FantaCulo!AJ22/100)-1, 0) - IF(Punteggio!S22=0,(FantaCulo!AI22/100), 0)</f>
        <v>2.3334000000000001</v>
      </c>
      <c r="AL22" s="72">
        <v>0</v>
      </c>
      <c r="AM22" s="72">
        <v>11.11</v>
      </c>
      <c r="AN22" s="72">
        <v>88.89</v>
      </c>
      <c r="AO22" s="73">
        <f>Punteggio!U22 - (3*FantaCulo!AL22/100) + IF(Punteggio!U22=1,(FantaCulo!AN22/100)-1, 0) - IF(Punteggio!U22=0,(FantaCulo!AM22/100), 0)</f>
        <v>-0.11109999999999999</v>
      </c>
    </row>
    <row r="23" spans="1:41" ht="15" x14ac:dyDescent="0.25">
      <c r="A23" s="76">
        <v>21</v>
      </c>
      <c r="B23" s="71">
        <v>0</v>
      </c>
      <c r="C23" s="71">
        <v>0</v>
      </c>
      <c r="D23" s="71">
        <v>100</v>
      </c>
      <c r="E23" s="43">
        <f>Punteggio!C23 - (3*FantaCulo!B23/100) + IF(Punteggio!C23=1,(FantaCulo!D23/100)-1, 0) - IF(Punteggio!C23=0,(FantaCulo!C23/100), 0)</f>
        <v>0</v>
      </c>
      <c r="F23" s="71">
        <v>22.22</v>
      </c>
      <c r="G23" s="71">
        <v>22.22</v>
      </c>
      <c r="H23" s="71">
        <v>55.56</v>
      </c>
      <c r="I23" s="43">
        <f>Punteggio!E23 - (3*FantaCulo!F23/100) + IF(Punteggio!E23=1,(FantaCulo!H23/100)-1, 0) - IF(Punteggio!E23=0,(FantaCulo!G23/100), 0)</f>
        <v>-0.88879999999999992</v>
      </c>
      <c r="J23" s="71">
        <v>55.55</v>
      </c>
      <c r="K23" s="71">
        <v>33.33</v>
      </c>
      <c r="L23" s="71">
        <v>11.12</v>
      </c>
      <c r="M23" s="43">
        <f>Punteggio!G23 - (3*FantaCulo!J23/100) + IF(Punteggio!G23=1,(FantaCulo!L23/100)-1, 0) - IF(Punteggio!G23=0,(FantaCulo!K23/100), 0)</f>
        <v>1.3335000000000001</v>
      </c>
      <c r="N23" s="71">
        <v>22.22</v>
      </c>
      <c r="O23" s="71">
        <v>22.22</v>
      </c>
      <c r="P23" s="71">
        <v>55.56</v>
      </c>
      <c r="Q23" s="43">
        <f>Punteggio!I23 - (3*FantaCulo!N23/100) + IF(Punteggio!I23=1,(FantaCulo!P23/100)-1, 0) - IF(Punteggio!I23=0,(FantaCulo!O23/100), 0)</f>
        <v>-0.88879999999999992</v>
      </c>
      <c r="R23" s="71">
        <v>100</v>
      </c>
      <c r="S23" s="71">
        <v>0</v>
      </c>
      <c r="T23" s="71">
        <v>0</v>
      </c>
      <c r="U23" s="43">
        <f>Punteggio!K23 - (3*FantaCulo!R23/100) + IF(Punteggio!K23=1,(FantaCulo!T23/100)-1, 0) - IF(Punteggio!K23=0,(FantaCulo!S23/100), 0)</f>
        <v>0</v>
      </c>
      <c r="V23" s="71">
        <v>22.22</v>
      </c>
      <c r="W23" s="71">
        <v>22.22</v>
      </c>
      <c r="X23" s="71">
        <v>55.56</v>
      </c>
      <c r="Y23" s="43">
        <f>Punteggio!M23 - (3*FantaCulo!V23/100) + IF(Punteggio!M23=1,(FantaCulo!X23/100)-1, 0) - IF(Punteggio!M23=0,(FantaCulo!W23/100), 0)</f>
        <v>-0.88879999999999992</v>
      </c>
      <c r="Z23" s="71">
        <v>22.22</v>
      </c>
      <c r="AA23" s="71">
        <v>22.22</v>
      </c>
      <c r="AB23" s="71">
        <v>55.56</v>
      </c>
      <c r="AC23" s="43">
        <f>Punteggio!O23 - (3*FantaCulo!Z23/100) + IF(Punteggio!O23=1,(FantaCulo!AB23/100)-1, 0) - IF(Punteggio!O23=0,(FantaCulo!AA23/100), 0)</f>
        <v>2.3334000000000001</v>
      </c>
      <c r="AD23" s="71">
        <v>22.22</v>
      </c>
      <c r="AE23" s="71">
        <v>22.22</v>
      </c>
      <c r="AF23" s="71">
        <v>55.56</v>
      </c>
      <c r="AG23" s="43">
        <f>Punteggio!Q23 - (3*FantaCulo!AD23/100) + IF(Punteggio!Q23=1,(FantaCulo!AF23/100)-1, 0) - IF(Punteggio!Q23=0,(FantaCulo!AE23/100), 0)</f>
        <v>2.3334000000000001</v>
      </c>
      <c r="AH23" s="71">
        <v>11.11</v>
      </c>
      <c r="AI23" s="71">
        <v>0</v>
      </c>
      <c r="AJ23" s="71">
        <v>88.89</v>
      </c>
      <c r="AK23" s="43">
        <f>Punteggio!S23 - (3*FantaCulo!AH23/100) + IF(Punteggio!S23=1,(FantaCulo!AJ23/100)-1, 0) - IF(Punteggio!S23=0,(FantaCulo!AI23/100), 0)</f>
        <v>-0.33329999999999999</v>
      </c>
      <c r="AL23" s="71">
        <v>22.22</v>
      </c>
      <c r="AM23" s="71">
        <v>22.22</v>
      </c>
      <c r="AN23" s="71">
        <v>55.56</v>
      </c>
      <c r="AO23" s="43">
        <f>Punteggio!U23 - (3*FantaCulo!AL23/100) + IF(Punteggio!U23=1,(FantaCulo!AN23/100)-1, 0) - IF(Punteggio!U23=0,(FantaCulo!AM23/100), 0)</f>
        <v>2.3334000000000001</v>
      </c>
    </row>
    <row r="24" spans="1:41" s="75" customFormat="1" ht="15" x14ac:dyDescent="0.25">
      <c r="A24" s="77">
        <v>22</v>
      </c>
      <c r="B24" s="72">
        <v>77.77</v>
      </c>
      <c r="C24" s="72">
        <v>11.11</v>
      </c>
      <c r="D24" s="72">
        <v>11.12</v>
      </c>
      <c r="E24" s="73">
        <f>Punteggio!C24 - (3*FantaCulo!B24/100) + IF(Punteggio!C24=1,(FantaCulo!D24/100)-1, 0) - IF(Punteggio!C24=0,(FantaCulo!C24/100), 0)</f>
        <v>0.66690000000000005</v>
      </c>
      <c r="F24" s="72">
        <v>0</v>
      </c>
      <c r="G24" s="72">
        <v>22.22</v>
      </c>
      <c r="H24" s="72">
        <v>77.78</v>
      </c>
      <c r="I24" s="73">
        <f>Punteggio!E24 - (3*FantaCulo!F24/100) + IF(Punteggio!E24=1,(FantaCulo!H24/100)-1, 0) - IF(Punteggio!E24=0,(FantaCulo!G24/100), 0)</f>
        <v>-0.22219999999999998</v>
      </c>
      <c r="J24" s="72">
        <v>44.44</v>
      </c>
      <c r="K24" s="72">
        <v>22.22</v>
      </c>
      <c r="L24" s="72">
        <v>33.340000000000003</v>
      </c>
      <c r="M24" s="73">
        <f>Punteggio!G24 - (3*FantaCulo!J24/100) + IF(Punteggio!G24=1,(FantaCulo!L24/100)-1, 0) - IF(Punteggio!G24=0,(FantaCulo!K24/100), 0)</f>
        <v>-1.5553999999999999</v>
      </c>
      <c r="N24" s="72">
        <v>44.44</v>
      </c>
      <c r="O24" s="72">
        <v>22.22</v>
      </c>
      <c r="P24" s="72">
        <v>33.340000000000003</v>
      </c>
      <c r="Q24" s="73">
        <f>Punteggio!I24 - (3*FantaCulo!N24/100) + IF(Punteggio!I24=1,(FantaCulo!P24/100)-1, 0) - IF(Punteggio!I24=0,(FantaCulo!O24/100), 0)</f>
        <v>-1.5553999999999999</v>
      </c>
      <c r="R24" s="72">
        <v>100</v>
      </c>
      <c r="S24" s="72">
        <v>0</v>
      </c>
      <c r="T24" s="72">
        <v>0</v>
      </c>
      <c r="U24" s="73">
        <f>Punteggio!K24 - (3*FantaCulo!R24/100) + IF(Punteggio!K24=1,(FantaCulo!T24/100)-1, 0) - IF(Punteggio!K24=0,(FantaCulo!S24/100), 0)</f>
        <v>0</v>
      </c>
      <c r="V24" s="72">
        <v>0</v>
      </c>
      <c r="W24" s="72">
        <v>22.22</v>
      </c>
      <c r="X24" s="72">
        <v>77.78</v>
      </c>
      <c r="Y24" s="73">
        <f>Punteggio!M24 - (3*FantaCulo!V24/100) + IF(Punteggio!M24=1,(FantaCulo!X24/100)-1, 0) - IF(Punteggio!M24=0,(FantaCulo!W24/100), 0)</f>
        <v>-0.22219999999999998</v>
      </c>
      <c r="Z24" s="72">
        <v>0</v>
      </c>
      <c r="AA24" s="72">
        <v>22.22</v>
      </c>
      <c r="AB24" s="72">
        <v>77.78</v>
      </c>
      <c r="AC24" s="73">
        <f>Punteggio!O24 - (3*FantaCulo!Z24/100) + IF(Punteggio!O24=1,(FantaCulo!AB24/100)-1, 0) - IF(Punteggio!O24=0,(FantaCulo!AA24/100), 0)</f>
        <v>-0.22219999999999998</v>
      </c>
      <c r="AD24" s="72">
        <v>77.77</v>
      </c>
      <c r="AE24" s="72">
        <v>11.11</v>
      </c>
      <c r="AF24" s="72">
        <v>11.12</v>
      </c>
      <c r="AG24" s="73">
        <f>Punteggio!Q24 - (3*FantaCulo!AD24/100) + IF(Punteggio!Q24=1,(FantaCulo!AF24/100)-1, 0) - IF(Punteggio!Q24=0,(FantaCulo!AE24/100), 0)</f>
        <v>0.66690000000000005</v>
      </c>
      <c r="AH24" s="72">
        <v>33.33</v>
      </c>
      <c r="AI24" s="72">
        <v>0</v>
      </c>
      <c r="AJ24" s="72">
        <v>66.67</v>
      </c>
      <c r="AK24" s="73">
        <f>Punteggio!S24 - (3*FantaCulo!AH24/100) + IF(Punteggio!S24=1,(FantaCulo!AJ24/100)-1, 0) - IF(Punteggio!S24=0,(FantaCulo!AI24/100), 0)</f>
        <v>2.0001000000000002</v>
      </c>
      <c r="AL24" s="72">
        <v>44.44</v>
      </c>
      <c r="AM24" s="72">
        <v>22.22</v>
      </c>
      <c r="AN24" s="72">
        <v>33.340000000000003</v>
      </c>
      <c r="AO24" s="73">
        <f>Punteggio!U24 - (3*FantaCulo!AL24/100) + IF(Punteggio!U24=1,(FantaCulo!AN24/100)-1, 0) - IF(Punteggio!U24=0,(FantaCulo!AM24/100), 0)</f>
        <v>1.6668000000000001</v>
      </c>
    </row>
    <row r="25" spans="1:41" s="256" customFormat="1" ht="15" x14ac:dyDescent="0.25">
      <c r="A25" s="76">
        <v>23</v>
      </c>
      <c r="B25" s="71">
        <v>0</v>
      </c>
      <c r="C25" s="71">
        <v>44.44</v>
      </c>
      <c r="D25" s="71">
        <v>55.56</v>
      </c>
      <c r="E25" s="43">
        <f>Punteggio!C25 - (3*FantaCulo!B25/100) + IF(Punteggio!C25=1,(FantaCulo!D25/100)-1, 0) - IF(Punteggio!C25=0,(FantaCulo!C25/100), 0)</f>
        <v>-0.44439999999999996</v>
      </c>
      <c r="F25" s="71">
        <v>0</v>
      </c>
      <c r="G25" s="71">
        <v>44.44</v>
      </c>
      <c r="H25" s="71">
        <v>55.56</v>
      </c>
      <c r="I25" s="43">
        <f>Punteggio!E25 - (3*FantaCulo!F25/100) + IF(Punteggio!E25=1,(FantaCulo!H25/100)-1, 0) - IF(Punteggio!E25=0,(FantaCulo!G25/100), 0)</f>
        <v>0.55559999999999998</v>
      </c>
      <c r="J25" s="71">
        <v>55.55</v>
      </c>
      <c r="K25" s="71">
        <v>33.33</v>
      </c>
      <c r="L25" s="71">
        <v>11.12</v>
      </c>
      <c r="M25" s="43">
        <f>Punteggio!G25 - (3*FantaCulo!J25/100) + IF(Punteggio!G25=1,(FantaCulo!L25/100)-1, 0) - IF(Punteggio!G25=0,(FantaCulo!K25/100), 0)</f>
        <v>-1.9997999999999998</v>
      </c>
      <c r="N25" s="71">
        <v>55.55</v>
      </c>
      <c r="O25" s="71">
        <v>33.33</v>
      </c>
      <c r="P25" s="71">
        <v>11.12</v>
      </c>
      <c r="Q25" s="43">
        <f>Punteggio!I25 - (3*FantaCulo!N25/100) + IF(Punteggio!I25=1,(FantaCulo!P25/100)-1, 0) - IF(Punteggio!I25=0,(FantaCulo!O25/100), 0)</f>
        <v>1.3335000000000001</v>
      </c>
      <c r="R25" s="71">
        <v>55.55</v>
      </c>
      <c r="S25" s="71">
        <v>33.33</v>
      </c>
      <c r="T25" s="71">
        <v>11.12</v>
      </c>
      <c r="U25" s="43">
        <f>Punteggio!K25 - (3*FantaCulo!R25/100) + IF(Punteggio!K25=1,(FantaCulo!T25/100)-1, 0) - IF(Punteggio!K25=0,(FantaCulo!S25/100), 0)</f>
        <v>1.3335000000000001</v>
      </c>
      <c r="V25" s="71">
        <v>0</v>
      </c>
      <c r="W25" s="71">
        <v>44.44</v>
      </c>
      <c r="X25" s="71">
        <v>55.56</v>
      </c>
      <c r="Y25" s="43">
        <f>Punteggio!M25 - (3*FantaCulo!V25/100) + IF(Punteggio!M25=1,(FantaCulo!X25/100)-1, 0) - IF(Punteggio!M25=0,(FantaCulo!W25/100), 0)</f>
        <v>-0.44439999999999996</v>
      </c>
      <c r="Z25" s="71">
        <v>0</v>
      </c>
      <c r="AA25" s="71">
        <v>44.44</v>
      </c>
      <c r="AB25" s="71">
        <v>55.56</v>
      </c>
      <c r="AC25" s="43">
        <f>Punteggio!O25 - (3*FantaCulo!Z25/100) + IF(Punteggio!O25=1,(FantaCulo!AB25/100)-1, 0) - IF(Punteggio!O25=0,(FantaCulo!AA25/100), 0)</f>
        <v>-0.44439999999999996</v>
      </c>
      <c r="AD25" s="71">
        <v>100</v>
      </c>
      <c r="AE25" s="71">
        <v>0</v>
      </c>
      <c r="AF25" s="71">
        <v>0</v>
      </c>
      <c r="AG25" s="43">
        <f>Punteggio!Q25 - (3*FantaCulo!AD25/100) + IF(Punteggio!Q25=1,(FantaCulo!AF25/100)-1, 0) - IF(Punteggio!Q25=0,(FantaCulo!AE25/100), 0)</f>
        <v>0</v>
      </c>
      <c r="AH25" s="71">
        <v>0</v>
      </c>
      <c r="AI25" s="71">
        <v>44.44</v>
      </c>
      <c r="AJ25" s="71">
        <v>55.56</v>
      </c>
      <c r="AK25" s="43">
        <f>Punteggio!S25 - (3*FantaCulo!AH25/100) + IF(Punteggio!S25=1,(FantaCulo!AJ25/100)-1, 0) - IF(Punteggio!S25=0,(FantaCulo!AI25/100), 0)</f>
        <v>0.55559999999999998</v>
      </c>
      <c r="AL25" s="71">
        <v>55.55</v>
      </c>
      <c r="AM25" s="71">
        <v>33.33</v>
      </c>
      <c r="AN25" s="71">
        <v>11.12</v>
      </c>
      <c r="AO25" s="43">
        <f>Punteggio!U25 - (3*FantaCulo!AL25/100) + IF(Punteggio!U25=1,(FantaCulo!AN25/100)-1, 0) - IF(Punteggio!U25=0,(FantaCulo!AM25/100), 0)</f>
        <v>1.3335000000000001</v>
      </c>
    </row>
    <row r="26" spans="1:41" s="75" customFormat="1" ht="15" x14ac:dyDescent="0.25">
      <c r="A26" s="77">
        <v>24</v>
      </c>
      <c r="B26" s="72">
        <v>11.11</v>
      </c>
      <c r="C26" s="72">
        <v>22.22</v>
      </c>
      <c r="D26" s="72">
        <v>66.67</v>
      </c>
      <c r="E26" s="73">
        <f>Punteggio!C26 - (3*FantaCulo!B26/100) + IF(Punteggio!C26=1,(FantaCulo!D26/100)-1, 0) - IF(Punteggio!C26=0,(FantaCulo!C26/100), 0)</f>
        <v>2.6667000000000001</v>
      </c>
      <c r="F26" s="72">
        <v>88.88</v>
      </c>
      <c r="G26" s="72">
        <v>0</v>
      </c>
      <c r="H26" s="72">
        <v>11.12</v>
      </c>
      <c r="I26" s="73">
        <f>Punteggio!E26 - (3*FantaCulo!F26/100) + IF(Punteggio!E26=1,(FantaCulo!H26/100)-1, 0) - IF(Punteggio!E26=0,(FantaCulo!G26/100), 0)</f>
        <v>0.33360000000000012</v>
      </c>
      <c r="J26" s="72">
        <v>0</v>
      </c>
      <c r="K26" s="72">
        <v>0</v>
      </c>
      <c r="L26" s="72">
        <v>100</v>
      </c>
      <c r="M26" s="73">
        <f>Punteggio!G26 - (3*FantaCulo!J26/100) + IF(Punteggio!G26=1,(FantaCulo!L26/100)-1, 0) - IF(Punteggio!G26=0,(FantaCulo!K26/100), 0)</f>
        <v>0</v>
      </c>
      <c r="N26" s="72">
        <v>44.44</v>
      </c>
      <c r="O26" s="72">
        <v>33.33</v>
      </c>
      <c r="P26" s="72">
        <v>22.23</v>
      </c>
      <c r="Q26" s="73">
        <f>Punteggio!I26 - (3*FantaCulo!N26/100) + IF(Punteggio!I26=1,(FantaCulo!P26/100)-1, 0) - IF(Punteggio!I26=0,(FantaCulo!O26/100), 0)</f>
        <v>-1.1109</v>
      </c>
      <c r="R26" s="72">
        <v>100</v>
      </c>
      <c r="S26" s="72">
        <v>0</v>
      </c>
      <c r="T26" s="72">
        <v>0</v>
      </c>
      <c r="U26" s="73">
        <f>Punteggio!K26 - (3*FantaCulo!R26/100) + IF(Punteggio!K26=1,(FantaCulo!T26/100)-1, 0) - IF(Punteggio!K26=0,(FantaCulo!S26/100), 0)</f>
        <v>0</v>
      </c>
      <c r="V26" s="72">
        <v>44.44</v>
      </c>
      <c r="W26" s="72">
        <v>33.33</v>
      </c>
      <c r="X26" s="72">
        <v>22.23</v>
      </c>
      <c r="Y26" s="73">
        <f>Punteggio!M26 - (3*FantaCulo!V26/100) + IF(Punteggio!M26=1,(FantaCulo!X26/100)-1, 0) - IF(Punteggio!M26=0,(FantaCulo!W26/100), 0)</f>
        <v>-1.6664999999999999</v>
      </c>
      <c r="Z26" s="72">
        <v>44.44</v>
      </c>
      <c r="AA26" s="72">
        <v>33.33</v>
      </c>
      <c r="AB26" s="72">
        <v>22.23</v>
      </c>
      <c r="AC26" s="73">
        <f>Punteggio!O26 - (3*FantaCulo!Z26/100) + IF(Punteggio!O26=1,(FantaCulo!AB26/100)-1, 0) - IF(Punteggio!O26=0,(FantaCulo!AA26/100), 0)</f>
        <v>1.6668000000000001</v>
      </c>
      <c r="AD26" s="72">
        <v>11.11</v>
      </c>
      <c r="AE26" s="72">
        <v>22.22</v>
      </c>
      <c r="AF26" s="72">
        <v>66.67</v>
      </c>
      <c r="AG26" s="73">
        <f>Punteggio!Q26 - (3*FantaCulo!AD26/100) + IF(Punteggio!Q26=1,(FantaCulo!AF26/100)-1, 0) - IF(Punteggio!Q26=0,(FantaCulo!AE26/100), 0)</f>
        <v>-0.55549999999999999</v>
      </c>
      <c r="AH26" s="72">
        <v>11.11</v>
      </c>
      <c r="AI26" s="72">
        <v>22.22</v>
      </c>
      <c r="AJ26" s="72">
        <v>66.67</v>
      </c>
      <c r="AK26" s="73">
        <f>Punteggio!S26 - (3*FantaCulo!AH26/100) + IF(Punteggio!S26=1,(FantaCulo!AJ26/100)-1, 0) - IF(Punteggio!S26=0,(FantaCulo!AI26/100), 0)</f>
        <v>-0.55549999999999999</v>
      </c>
      <c r="AL26" s="72">
        <v>44.44</v>
      </c>
      <c r="AM26" s="72">
        <v>33.33</v>
      </c>
      <c r="AN26" s="72">
        <v>22.23</v>
      </c>
      <c r="AO26" s="73">
        <f>Punteggio!U26 - (3*FantaCulo!AL26/100) + IF(Punteggio!U26=1,(FantaCulo!AN26/100)-1, 0) - IF(Punteggio!U26=0,(FantaCulo!AM26/100), 0)</f>
        <v>-1.1109</v>
      </c>
    </row>
    <row r="27" spans="1:41" ht="15" x14ac:dyDescent="0.25">
      <c r="A27" s="76">
        <v>25</v>
      </c>
      <c r="B27" s="71">
        <v>55.55</v>
      </c>
      <c r="C27" s="71">
        <v>33.33</v>
      </c>
      <c r="D27" s="71">
        <v>11.12</v>
      </c>
      <c r="E27" s="43">
        <f>Punteggio!C27 - (3*FantaCulo!B27/100) + IF(Punteggio!C27=1,(FantaCulo!D27/100)-1, 0) - IF(Punteggio!C27=0,(FantaCulo!C27/100), 0)</f>
        <v>1.3335000000000001</v>
      </c>
      <c r="F27" s="71">
        <v>55.55</v>
      </c>
      <c r="G27" s="71">
        <v>33.33</v>
      </c>
      <c r="H27" s="71">
        <v>11.12</v>
      </c>
      <c r="I27" s="43">
        <f>Punteggio!E27 - (3*FantaCulo!F27/100) + IF(Punteggio!E27=1,(FantaCulo!H27/100)-1, 0) - IF(Punteggio!E27=0,(FantaCulo!G27/100), 0)</f>
        <v>1.3335000000000001</v>
      </c>
      <c r="J27" s="71">
        <v>55.55</v>
      </c>
      <c r="K27" s="71">
        <v>33.33</v>
      </c>
      <c r="L27" s="71">
        <v>11.12</v>
      </c>
      <c r="M27" s="43">
        <f>Punteggio!G27 - (3*FantaCulo!J27/100) + IF(Punteggio!G27=1,(FantaCulo!L27/100)-1, 0) - IF(Punteggio!G27=0,(FantaCulo!K27/100), 0)</f>
        <v>1.3335000000000001</v>
      </c>
      <c r="N27" s="71">
        <v>0</v>
      </c>
      <c r="O27" s="71">
        <v>0</v>
      </c>
      <c r="P27" s="71">
        <v>100</v>
      </c>
      <c r="Q27" s="43">
        <f>Punteggio!I27 - (3*FantaCulo!N27/100) + IF(Punteggio!I27=1,(FantaCulo!P27/100)-1, 0) - IF(Punteggio!I27=0,(FantaCulo!O27/100), 0)</f>
        <v>0</v>
      </c>
      <c r="R27" s="71">
        <v>22.22</v>
      </c>
      <c r="S27" s="71">
        <v>22.22</v>
      </c>
      <c r="T27" s="71">
        <v>55.56</v>
      </c>
      <c r="U27" s="43">
        <f>Punteggio!K27 - (3*FantaCulo!R27/100) + IF(Punteggio!K27=1,(FantaCulo!T27/100)-1, 0) - IF(Punteggio!K27=0,(FantaCulo!S27/100), 0)</f>
        <v>-0.88879999999999992</v>
      </c>
      <c r="V27" s="71">
        <v>22.22</v>
      </c>
      <c r="W27" s="71">
        <v>22.22</v>
      </c>
      <c r="X27" s="71">
        <v>55.56</v>
      </c>
      <c r="Y27" s="43">
        <f>Punteggio!M27 - (3*FantaCulo!V27/100) + IF(Punteggio!M27=1,(FantaCulo!X27/100)-1, 0) - IF(Punteggio!M27=0,(FantaCulo!W27/100), 0)</f>
        <v>2.3334000000000001</v>
      </c>
      <c r="Z27" s="71">
        <v>22.22</v>
      </c>
      <c r="AA27" s="71">
        <v>22.22</v>
      </c>
      <c r="AB27" s="71">
        <v>55.56</v>
      </c>
      <c r="AC27" s="43">
        <f>Punteggio!O27 - (3*FantaCulo!Z27/100) + IF(Punteggio!O27=1,(FantaCulo!AB27/100)-1, 0) - IF(Punteggio!O27=0,(FantaCulo!AA27/100), 0)</f>
        <v>-0.88879999999999992</v>
      </c>
      <c r="AD27" s="71">
        <v>100</v>
      </c>
      <c r="AE27" s="71">
        <v>0</v>
      </c>
      <c r="AF27" s="71">
        <v>0</v>
      </c>
      <c r="AG27" s="43">
        <f>Punteggio!Q27 - (3*FantaCulo!AD27/100) + IF(Punteggio!Q27=1,(FantaCulo!AF27/100)-1, 0) - IF(Punteggio!Q27=0,(FantaCulo!AE27/100), 0)</f>
        <v>0</v>
      </c>
      <c r="AH27" s="71">
        <v>55.55</v>
      </c>
      <c r="AI27" s="71">
        <v>33.33</v>
      </c>
      <c r="AJ27" s="71">
        <v>11.12</v>
      </c>
      <c r="AK27" s="43">
        <f>Punteggio!S27 - (3*FantaCulo!AH27/100) + IF(Punteggio!S27=1,(FantaCulo!AJ27/100)-1, 0) - IF(Punteggio!S27=0,(FantaCulo!AI27/100), 0)</f>
        <v>-1.9997999999999998</v>
      </c>
      <c r="AL27" s="71">
        <v>11.11</v>
      </c>
      <c r="AM27" s="71">
        <v>0</v>
      </c>
      <c r="AN27" s="71">
        <v>88.89</v>
      </c>
      <c r="AO27" s="43">
        <f>Punteggio!U27 - (3*FantaCulo!AL27/100) + IF(Punteggio!U27=1,(FantaCulo!AN27/100)-1, 0) - IF(Punteggio!U27=0,(FantaCulo!AM27/100), 0)</f>
        <v>-0.33329999999999999</v>
      </c>
    </row>
    <row r="28" spans="1:41" s="75" customFormat="1" ht="15" x14ac:dyDescent="0.25">
      <c r="A28" s="77">
        <v>26</v>
      </c>
      <c r="B28" s="72">
        <v>33.33</v>
      </c>
      <c r="C28" s="72">
        <v>44.44</v>
      </c>
      <c r="D28" s="72">
        <v>22.23</v>
      </c>
      <c r="E28" s="73">
        <f>Punteggio!C28 - (3*FantaCulo!B28/100) + IF(Punteggio!C28=1,(FantaCulo!D28/100)-1, 0) - IF(Punteggio!C28=0,(FantaCulo!C28/100), 0)</f>
        <v>-1.4442999999999999</v>
      </c>
      <c r="F28" s="72">
        <v>0</v>
      </c>
      <c r="G28" s="72">
        <v>0</v>
      </c>
      <c r="H28" s="72">
        <v>100</v>
      </c>
      <c r="I28" s="73">
        <f>Punteggio!E28 - (3*FantaCulo!F28/100) + IF(Punteggio!E28=1,(FantaCulo!H28/100)-1, 0) - IF(Punteggio!E28=0,(FantaCulo!G28/100), 0)</f>
        <v>0</v>
      </c>
      <c r="J28" s="72">
        <v>11.11</v>
      </c>
      <c r="K28" s="72">
        <v>11.11</v>
      </c>
      <c r="L28" s="72">
        <v>77.78</v>
      </c>
      <c r="M28" s="73">
        <f>Punteggio!G28 - (3*FantaCulo!J28/100) + IF(Punteggio!G28=1,(FantaCulo!L28/100)-1, 0) - IF(Punteggio!G28=0,(FantaCulo!K28/100), 0)</f>
        <v>-0.44439999999999996</v>
      </c>
      <c r="N28" s="72">
        <v>100</v>
      </c>
      <c r="O28" s="72">
        <v>0</v>
      </c>
      <c r="P28" s="72">
        <v>0</v>
      </c>
      <c r="Q28" s="73">
        <f>Punteggio!I28 - (3*FantaCulo!N28/100) + IF(Punteggio!I28=1,(FantaCulo!P28/100)-1, 0) - IF(Punteggio!I28=0,(FantaCulo!O28/100), 0)</f>
        <v>0</v>
      </c>
      <c r="R28" s="72">
        <v>33.33</v>
      </c>
      <c r="S28" s="72">
        <v>44.44</v>
      </c>
      <c r="T28" s="72">
        <v>22.23</v>
      </c>
      <c r="U28" s="73">
        <f>Punteggio!K28 - (3*FantaCulo!R28/100) + IF(Punteggio!K28=1,(FantaCulo!T28/100)-1, 0) - IF(Punteggio!K28=0,(FantaCulo!S28/100), 0)</f>
        <v>2.0001000000000002</v>
      </c>
      <c r="V28" s="72">
        <v>33.33</v>
      </c>
      <c r="W28" s="72">
        <v>44.44</v>
      </c>
      <c r="X28" s="72">
        <v>22.23</v>
      </c>
      <c r="Y28" s="73">
        <f>Punteggio!M28 - (3*FantaCulo!V28/100) + IF(Punteggio!M28=1,(FantaCulo!X28/100)-1, 0) - IF(Punteggio!M28=0,(FantaCulo!W28/100), 0)</f>
        <v>2.0001000000000002</v>
      </c>
      <c r="Z28" s="72">
        <v>33.33</v>
      </c>
      <c r="AA28" s="72">
        <v>44.44</v>
      </c>
      <c r="AB28" s="72">
        <v>22.23</v>
      </c>
      <c r="AC28" s="73">
        <f>Punteggio!O28 - (3*FantaCulo!Z28/100) + IF(Punteggio!O28=1,(FantaCulo!AB28/100)-1, 0) - IF(Punteggio!O28=0,(FantaCulo!AA28/100), 0)</f>
        <v>-0.77759999999999996</v>
      </c>
      <c r="AD28" s="72">
        <v>11.11</v>
      </c>
      <c r="AE28" s="72">
        <v>11.11</v>
      </c>
      <c r="AF28" s="72">
        <v>77.78</v>
      </c>
      <c r="AG28" s="73">
        <f>Punteggio!Q28 - (3*FantaCulo!AD28/100) + IF(Punteggio!Q28=1,(FantaCulo!AF28/100)-1, 0) - IF(Punteggio!Q28=0,(FantaCulo!AE28/100), 0)</f>
        <v>-0.44439999999999996</v>
      </c>
      <c r="AH28" s="72">
        <v>88.88</v>
      </c>
      <c r="AI28" s="72">
        <v>0</v>
      </c>
      <c r="AJ28" s="72">
        <v>11.12</v>
      </c>
      <c r="AK28" s="73">
        <f>Punteggio!S28 - (3*FantaCulo!AH28/100) + IF(Punteggio!S28=1,(FantaCulo!AJ28/100)-1, 0) - IF(Punteggio!S28=0,(FantaCulo!AI28/100), 0)</f>
        <v>0.33360000000000012</v>
      </c>
      <c r="AL28" s="72">
        <v>33.33</v>
      </c>
      <c r="AM28" s="72">
        <v>44.44</v>
      </c>
      <c r="AN28" s="72">
        <v>22.23</v>
      </c>
      <c r="AO28" s="73">
        <f>Punteggio!U28 - (3*FantaCulo!AL28/100) + IF(Punteggio!U28=1,(FantaCulo!AN28/100)-1, 0) - IF(Punteggio!U28=0,(FantaCulo!AM28/100), 0)</f>
        <v>-0.77759999999999996</v>
      </c>
    </row>
    <row r="29" spans="1:41" ht="15" x14ac:dyDescent="0.25">
      <c r="A29" s="76">
        <v>27</v>
      </c>
      <c r="B29" s="71">
        <v>11.11</v>
      </c>
      <c r="C29" s="71">
        <v>33.33</v>
      </c>
      <c r="D29" s="71">
        <v>55.56</v>
      </c>
      <c r="E29" s="43">
        <f>Punteggio!C29 - (3*FantaCulo!B29/100) + IF(Punteggio!C29=1,(FantaCulo!D29/100)-1, 0) - IF(Punteggio!C29=0,(FantaCulo!C29/100), 0)</f>
        <v>0.22230000000000005</v>
      </c>
      <c r="F29" s="71">
        <v>77.77</v>
      </c>
      <c r="G29" s="71">
        <v>22.23</v>
      </c>
      <c r="H29" s="71">
        <v>0</v>
      </c>
      <c r="I29" s="43">
        <f>Punteggio!E29 - (3*FantaCulo!F29/100) + IF(Punteggio!E29=1,(FantaCulo!H29/100)-1, 0) - IF(Punteggio!E29=0,(FantaCulo!G29/100), 0)</f>
        <v>0.66690000000000005</v>
      </c>
      <c r="J29" s="71">
        <v>55.55</v>
      </c>
      <c r="K29" s="71">
        <v>11.11</v>
      </c>
      <c r="L29" s="71">
        <v>33.340000000000003</v>
      </c>
      <c r="M29" s="43">
        <f>Punteggio!G29 - (3*FantaCulo!J29/100) + IF(Punteggio!G29=1,(FantaCulo!L29/100)-1, 0) - IF(Punteggio!G29=0,(FantaCulo!K29/100), 0)</f>
        <v>1.3335000000000001</v>
      </c>
      <c r="N29" s="71">
        <v>0</v>
      </c>
      <c r="O29" s="71">
        <v>0</v>
      </c>
      <c r="P29" s="71">
        <v>100</v>
      </c>
      <c r="Q29" s="43">
        <f>Punteggio!I29 - (3*FantaCulo!N29/100) + IF(Punteggio!I29=1,(FantaCulo!P29/100)-1, 0) - IF(Punteggio!I29=0,(FantaCulo!O29/100), 0)</f>
        <v>0</v>
      </c>
      <c r="R29" s="71">
        <v>11.11</v>
      </c>
      <c r="S29" s="71">
        <v>33.33</v>
      </c>
      <c r="T29" s="71">
        <v>55.56</v>
      </c>
      <c r="U29" s="43">
        <f>Punteggio!K29 - (3*FantaCulo!R29/100) + IF(Punteggio!K29=1,(FantaCulo!T29/100)-1, 0) - IF(Punteggio!K29=0,(FantaCulo!S29/100), 0)</f>
        <v>0.22230000000000005</v>
      </c>
      <c r="V29" s="71">
        <v>77.77</v>
      </c>
      <c r="W29" s="71">
        <v>22.23</v>
      </c>
      <c r="X29" s="71">
        <v>0</v>
      </c>
      <c r="Y29" s="43">
        <f>Punteggio!M29 - (3*FantaCulo!V29/100) + IF(Punteggio!M29=1,(FantaCulo!X29/100)-1, 0) - IF(Punteggio!M29=0,(FantaCulo!W29/100), 0)</f>
        <v>-2.3331</v>
      </c>
      <c r="Z29" s="71">
        <v>77.77</v>
      </c>
      <c r="AA29" s="71">
        <v>22.23</v>
      </c>
      <c r="AB29" s="71">
        <v>0</v>
      </c>
      <c r="AC29" s="43">
        <f>Punteggio!O29 - (3*FantaCulo!Z29/100) + IF(Punteggio!O29=1,(FantaCulo!AB29/100)-1, 0) - IF(Punteggio!O29=0,(FantaCulo!AA29/100), 0)</f>
        <v>-2.3331</v>
      </c>
      <c r="AD29" s="71">
        <v>11.11</v>
      </c>
      <c r="AE29" s="71">
        <v>33.33</v>
      </c>
      <c r="AF29" s="71">
        <v>55.56</v>
      </c>
      <c r="AG29" s="43">
        <f>Punteggio!Q29 - (3*FantaCulo!AD29/100) + IF(Punteggio!Q29=1,(FantaCulo!AF29/100)-1, 0) - IF(Punteggio!Q29=0,(FantaCulo!AE29/100), 0)</f>
        <v>-0.66659999999999997</v>
      </c>
      <c r="AH29" s="71">
        <v>11.11</v>
      </c>
      <c r="AI29" s="71">
        <v>33.33</v>
      </c>
      <c r="AJ29" s="71">
        <v>55.56</v>
      </c>
      <c r="AK29" s="43">
        <f>Punteggio!S29 - (3*FantaCulo!AH29/100) + IF(Punteggio!S29=1,(FantaCulo!AJ29/100)-1, 0) - IF(Punteggio!S29=0,(FantaCulo!AI29/100), 0)</f>
        <v>-0.66659999999999997</v>
      </c>
      <c r="AL29" s="71">
        <v>55.55</v>
      </c>
      <c r="AM29" s="71">
        <v>11.11</v>
      </c>
      <c r="AN29" s="71">
        <v>33.340000000000003</v>
      </c>
      <c r="AO29" s="43">
        <f>Punteggio!U29 - (3*FantaCulo!AL29/100) + IF(Punteggio!U29=1,(FantaCulo!AN29/100)-1, 0) - IF(Punteggio!U29=0,(FantaCulo!AM29/100), 0)</f>
        <v>1.3335000000000001</v>
      </c>
    </row>
    <row r="30" spans="1:41" s="75" customFormat="1" ht="15" x14ac:dyDescent="0.25">
      <c r="A30" s="77">
        <v>28</v>
      </c>
      <c r="B30" s="72">
        <v>0</v>
      </c>
      <c r="C30" s="72">
        <v>44.44</v>
      </c>
      <c r="D30" s="72">
        <v>55.56</v>
      </c>
      <c r="E30" s="73">
        <f>Punteggio!C30 - (3*FantaCulo!B30/100) + IF(Punteggio!C30=1,(FantaCulo!D30/100)-1, 0) - IF(Punteggio!C30=0,(FantaCulo!C30/100), 0)</f>
        <v>-0.44439999999999996</v>
      </c>
      <c r="F30" s="72">
        <v>100</v>
      </c>
      <c r="G30" s="72">
        <v>0</v>
      </c>
      <c r="H30" s="72">
        <v>0</v>
      </c>
      <c r="I30" s="73">
        <f>Punteggio!E30 - (3*FantaCulo!F30/100) + IF(Punteggio!E30=1,(FantaCulo!H30/100)-1, 0) - IF(Punteggio!E30=0,(FantaCulo!G30/100), 0)</f>
        <v>0</v>
      </c>
      <c r="J30" s="72">
        <v>0</v>
      </c>
      <c r="K30" s="72">
        <v>44.44</v>
      </c>
      <c r="L30" s="72">
        <v>55.56</v>
      </c>
      <c r="M30" s="73">
        <f>Punteggio!G30 - (3*FantaCulo!J30/100) + IF(Punteggio!G30=1,(FantaCulo!L30/100)-1, 0) - IF(Punteggio!G30=0,(FantaCulo!K30/100), 0)</f>
        <v>-0.44439999999999996</v>
      </c>
      <c r="N30" s="72">
        <v>0</v>
      </c>
      <c r="O30" s="72">
        <v>44.44</v>
      </c>
      <c r="P30" s="72">
        <v>55.56</v>
      </c>
      <c r="Q30" s="73">
        <f>Punteggio!I30 - (3*FantaCulo!N30/100) + IF(Punteggio!I30=1,(FantaCulo!P30/100)-1, 0) - IF(Punteggio!I30=0,(FantaCulo!O30/100), 0)</f>
        <v>-0.44439999999999996</v>
      </c>
      <c r="R30" s="72">
        <v>66.66</v>
      </c>
      <c r="S30" s="72">
        <v>22.22</v>
      </c>
      <c r="T30" s="72">
        <v>11.12</v>
      </c>
      <c r="U30" s="73">
        <f>Punteggio!K30 - (3*FantaCulo!R30/100) + IF(Punteggio!K30=1,(FantaCulo!T30/100)-1, 0) - IF(Punteggio!K30=0,(FantaCulo!S30/100), 0)</f>
        <v>1.0002000000000002</v>
      </c>
      <c r="V30" s="72">
        <v>0</v>
      </c>
      <c r="W30" s="72">
        <v>44.44</v>
      </c>
      <c r="X30" s="72">
        <v>55.56</v>
      </c>
      <c r="Y30" s="73">
        <f>Punteggio!M30 - (3*FantaCulo!V30/100) + IF(Punteggio!M30=1,(FantaCulo!X30/100)-1, 0) - IF(Punteggio!M30=0,(FantaCulo!W30/100), 0)</f>
        <v>-0.44439999999999996</v>
      </c>
      <c r="Z30" s="72">
        <v>66.66</v>
      </c>
      <c r="AA30" s="72">
        <v>22.22</v>
      </c>
      <c r="AB30" s="72">
        <v>11.12</v>
      </c>
      <c r="AC30" s="73">
        <f>Punteggio!O30 - (3*FantaCulo!Z30/100) + IF(Punteggio!O30=1,(FantaCulo!AB30/100)-1, 0) - IF(Punteggio!O30=0,(FantaCulo!AA30/100), 0)</f>
        <v>1.0002000000000002</v>
      </c>
      <c r="AD30" s="72">
        <v>66.66</v>
      </c>
      <c r="AE30" s="72">
        <v>22.22</v>
      </c>
      <c r="AF30" s="72">
        <v>11.12</v>
      </c>
      <c r="AG30" s="73">
        <f>Punteggio!Q30 - (3*FantaCulo!AD30/100) + IF(Punteggio!Q30=1,(FantaCulo!AF30/100)-1, 0) - IF(Punteggio!Q30=0,(FantaCulo!AE30/100), 0)</f>
        <v>1.0002000000000002</v>
      </c>
      <c r="AH30" s="72">
        <v>55.55</v>
      </c>
      <c r="AI30" s="72">
        <v>0</v>
      </c>
      <c r="AJ30" s="72">
        <v>44.45</v>
      </c>
      <c r="AK30" s="73">
        <f>Punteggio!S30 - (3*FantaCulo!AH30/100) + IF(Punteggio!S30=1,(FantaCulo!AJ30/100)-1, 0) - IF(Punteggio!S30=0,(FantaCulo!AI30/100), 0)</f>
        <v>1.3335000000000001</v>
      </c>
      <c r="AL30" s="72">
        <v>0</v>
      </c>
      <c r="AM30" s="72">
        <v>44.44</v>
      </c>
      <c r="AN30" s="72">
        <v>55.56</v>
      </c>
      <c r="AO30" s="73">
        <f>Punteggio!U30 - (3*FantaCulo!AL30/100) + IF(Punteggio!U30=1,(FantaCulo!AN30/100)-1, 0) - IF(Punteggio!U30=0,(FantaCulo!AM30/100), 0)</f>
        <v>-0.44439999999999996</v>
      </c>
    </row>
    <row r="31" spans="1:41" ht="15" x14ac:dyDescent="0.25">
      <c r="A31" s="76">
        <v>29</v>
      </c>
      <c r="B31" s="71">
        <v>22.22</v>
      </c>
      <c r="C31" s="71">
        <v>33.33</v>
      </c>
      <c r="D31" s="71">
        <v>44.45</v>
      </c>
      <c r="E31" s="43">
        <f>Punteggio!C31 - (3*FantaCulo!B31/100) + IF(Punteggio!C31=1,(FantaCulo!D31/100)-1, 0) - IF(Punteggio!C31=0,(FantaCulo!C31/100), 0)</f>
        <v>-0.99990000000000001</v>
      </c>
      <c r="F31" s="71">
        <v>66.66</v>
      </c>
      <c r="G31" s="71">
        <v>11.11</v>
      </c>
      <c r="H31" s="71">
        <v>22.23</v>
      </c>
      <c r="I31" s="43">
        <f>Punteggio!E31 - (3*FantaCulo!F31/100) + IF(Punteggio!E31=1,(FantaCulo!H31/100)-1, 0) - IF(Punteggio!E31=0,(FantaCulo!G31/100), 0)</f>
        <v>1.0002000000000002</v>
      </c>
      <c r="J31" s="71">
        <v>22.22</v>
      </c>
      <c r="K31" s="71">
        <v>33.33</v>
      </c>
      <c r="L31" s="71">
        <v>44.45</v>
      </c>
      <c r="M31" s="43">
        <f>Punteggio!G31 - (3*FantaCulo!J31/100) + IF(Punteggio!G31=1,(FantaCulo!L31/100)-1, 0) - IF(Punteggio!G31=0,(FantaCulo!K31/100), 0)</f>
        <v>-0.22209999999999996</v>
      </c>
      <c r="N31" s="71">
        <v>66.66</v>
      </c>
      <c r="O31" s="71">
        <v>11.11</v>
      </c>
      <c r="P31" s="71">
        <v>22.23</v>
      </c>
      <c r="Q31" s="43">
        <f>Punteggio!I31 - (3*FantaCulo!N31/100) + IF(Punteggio!I31=1,(FantaCulo!P31/100)-1, 0) - IF(Punteggio!I31=0,(FantaCulo!O31/100), 0)</f>
        <v>1.0002000000000002</v>
      </c>
      <c r="R31" s="71">
        <v>88.88</v>
      </c>
      <c r="S31" s="71">
        <v>11.12</v>
      </c>
      <c r="T31" s="71">
        <v>0</v>
      </c>
      <c r="U31" s="43">
        <f>Punteggio!K31 - (3*FantaCulo!R31/100) + IF(Punteggio!K31=1,(FantaCulo!T31/100)-1, 0) - IF(Punteggio!K31=0,(FantaCulo!S31/100), 0)</f>
        <v>0.33360000000000012</v>
      </c>
      <c r="V31" s="71">
        <v>11.11</v>
      </c>
      <c r="W31" s="71">
        <v>0</v>
      </c>
      <c r="X31" s="71">
        <v>88.89</v>
      </c>
      <c r="Y31" s="43">
        <f>Punteggio!M31 - (3*FantaCulo!V31/100) + IF(Punteggio!M31=1,(FantaCulo!X31/100)-1, 0) - IF(Punteggio!M31=0,(FantaCulo!W31/100), 0)</f>
        <v>-0.33329999999999999</v>
      </c>
      <c r="Z31" s="71">
        <v>22.22</v>
      </c>
      <c r="AA31" s="71">
        <v>33.33</v>
      </c>
      <c r="AB31" s="71">
        <v>44.45</v>
      </c>
      <c r="AC31" s="43">
        <f>Punteggio!O31 - (3*FantaCulo!Z31/100) + IF(Punteggio!O31=1,(FantaCulo!AB31/100)-1, 0) - IF(Punteggio!O31=0,(FantaCulo!AA31/100), 0)</f>
        <v>-0.22209999999999996</v>
      </c>
      <c r="AD31" s="71">
        <v>22.22</v>
      </c>
      <c r="AE31" s="71">
        <v>33.33</v>
      </c>
      <c r="AF31" s="71">
        <v>44.45</v>
      </c>
      <c r="AG31" s="43">
        <f>Punteggio!Q31 - (3*FantaCulo!AD31/100) + IF(Punteggio!Q31=1,(FantaCulo!AF31/100)-1, 0) - IF(Punteggio!Q31=0,(FantaCulo!AE31/100), 0)</f>
        <v>-0.99990000000000001</v>
      </c>
      <c r="AH31" s="71">
        <v>0</v>
      </c>
      <c r="AI31" s="71">
        <v>0</v>
      </c>
      <c r="AJ31" s="71">
        <v>100</v>
      </c>
      <c r="AK31" s="43">
        <f>Punteggio!S31 - (3*FantaCulo!AH31/100) + IF(Punteggio!S31=1,(FantaCulo!AJ31/100)-1, 0) - IF(Punteggio!S31=0,(FantaCulo!AI31/100), 0)</f>
        <v>0</v>
      </c>
      <c r="AL31" s="71">
        <v>88.88</v>
      </c>
      <c r="AM31" s="71">
        <v>11.12</v>
      </c>
      <c r="AN31" s="71">
        <v>0</v>
      </c>
      <c r="AO31" s="43">
        <f>Punteggio!U31 - (3*FantaCulo!AL31/100) + IF(Punteggio!U31=1,(FantaCulo!AN31/100)-1, 0) - IF(Punteggio!U31=0,(FantaCulo!AM31/100), 0)</f>
        <v>0.33360000000000012</v>
      </c>
    </row>
    <row r="32" spans="1:41" s="75" customFormat="1" ht="15" x14ac:dyDescent="0.25">
      <c r="A32" s="77">
        <v>30</v>
      </c>
      <c r="B32" s="72">
        <v>0</v>
      </c>
      <c r="C32" s="72">
        <v>22.22</v>
      </c>
      <c r="D32" s="72">
        <v>77.78</v>
      </c>
      <c r="E32" s="73">
        <f>Punteggio!C32 - (3*FantaCulo!B32/100) + IF(Punteggio!C32=1,(FantaCulo!D32/100)-1, 0) - IF(Punteggio!C32=0,(FantaCulo!C32/100), 0)</f>
        <v>-0.22219999999999998</v>
      </c>
      <c r="F32" s="72">
        <v>33.33</v>
      </c>
      <c r="G32" s="72">
        <v>44.44</v>
      </c>
      <c r="H32" s="72">
        <v>22.23</v>
      </c>
      <c r="I32" s="73">
        <f>Punteggio!E32 - (3*FantaCulo!F32/100) + IF(Punteggio!E32=1,(FantaCulo!H32/100)-1, 0) - IF(Punteggio!E32=0,(FantaCulo!G32/100), 0)</f>
        <v>2.0001000000000002</v>
      </c>
      <c r="J32" s="72">
        <v>33.33</v>
      </c>
      <c r="K32" s="72">
        <v>44.44</v>
      </c>
      <c r="L32" s="72">
        <v>22.23</v>
      </c>
      <c r="M32" s="73">
        <f>Punteggio!G32 - (3*FantaCulo!J32/100) + IF(Punteggio!G32=1,(FantaCulo!L32/100)-1, 0) - IF(Punteggio!G32=0,(FantaCulo!K32/100), 0)</f>
        <v>2.0001000000000002</v>
      </c>
      <c r="N32" s="72">
        <v>88.88</v>
      </c>
      <c r="O32" s="72">
        <v>0</v>
      </c>
      <c r="P32" s="72">
        <v>11.12</v>
      </c>
      <c r="Q32" s="73">
        <f>Punteggio!I32 - (3*FantaCulo!N32/100) + IF(Punteggio!I32=1,(FantaCulo!P32/100)-1, 0) - IF(Punteggio!I32=0,(FantaCulo!O32/100), 0)</f>
        <v>0.33360000000000012</v>
      </c>
      <c r="R32" s="72">
        <v>33.33</v>
      </c>
      <c r="S32" s="72">
        <v>44.44</v>
      </c>
      <c r="T32" s="72">
        <v>22.23</v>
      </c>
      <c r="U32" s="73">
        <f>Punteggio!K32 - (3*FantaCulo!R32/100) + IF(Punteggio!K32=1,(FantaCulo!T32/100)-1, 0) - IF(Punteggio!K32=0,(FantaCulo!S32/100), 0)</f>
        <v>-1.4442999999999999</v>
      </c>
      <c r="V32" s="72">
        <v>33.33</v>
      </c>
      <c r="W32" s="72">
        <v>44.44</v>
      </c>
      <c r="X32" s="72">
        <v>22.23</v>
      </c>
      <c r="Y32" s="73">
        <f>Punteggio!M32 - (3*FantaCulo!V32/100) + IF(Punteggio!M32=1,(FantaCulo!X32/100)-1, 0) - IF(Punteggio!M32=0,(FantaCulo!W32/100), 0)</f>
        <v>-1.4442999999999999</v>
      </c>
      <c r="Z32" s="72">
        <v>0</v>
      </c>
      <c r="AA32" s="72">
        <v>22.22</v>
      </c>
      <c r="AB32" s="72">
        <v>77.78</v>
      </c>
      <c r="AC32" s="73">
        <f>Punteggio!O32 - (3*FantaCulo!Z32/100) + IF(Punteggio!O32=1,(FantaCulo!AB32/100)-1, 0) - IF(Punteggio!O32=0,(FantaCulo!AA32/100), 0)</f>
        <v>-0.22219999999999998</v>
      </c>
      <c r="AD32" s="72">
        <v>100</v>
      </c>
      <c r="AE32" s="72">
        <v>0</v>
      </c>
      <c r="AF32" s="72">
        <v>0</v>
      </c>
      <c r="AG32" s="73">
        <f>Punteggio!Q32 - (3*FantaCulo!AD32/100) + IF(Punteggio!Q32=1,(FantaCulo!AF32/100)-1, 0) - IF(Punteggio!Q32=0,(FantaCulo!AE32/100), 0)</f>
        <v>0</v>
      </c>
      <c r="AH32" s="72">
        <v>0</v>
      </c>
      <c r="AI32" s="72">
        <v>22.22</v>
      </c>
      <c r="AJ32" s="72">
        <v>77.78</v>
      </c>
      <c r="AK32" s="73">
        <f>Punteggio!S32 - (3*FantaCulo!AH32/100) + IF(Punteggio!S32=1,(FantaCulo!AJ32/100)-1, 0) - IF(Punteggio!S32=0,(FantaCulo!AI32/100), 0)</f>
        <v>-0.22219999999999998</v>
      </c>
      <c r="AL32" s="72">
        <v>33.33</v>
      </c>
      <c r="AM32" s="72">
        <v>44.44</v>
      </c>
      <c r="AN32" s="72">
        <v>22.23</v>
      </c>
      <c r="AO32" s="73">
        <f>Punteggio!U32 - (3*FantaCulo!AL32/100) + IF(Punteggio!U32=1,(FantaCulo!AN32/100)-1, 0) - IF(Punteggio!U32=0,(FantaCulo!AM32/100), 0)</f>
        <v>2.0001000000000002</v>
      </c>
    </row>
    <row r="33" spans="1:41" ht="15" x14ac:dyDescent="0.25">
      <c r="A33" s="76">
        <v>31</v>
      </c>
      <c r="B33" s="71">
        <v>0</v>
      </c>
      <c r="C33" s="71">
        <v>0</v>
      </c>
      <c r="D33" s="71">
        <v>100</v>
      </c>
      <c r="E33" s="43">
        <f>Punteggio!C33 - (3*FantaCulo!B33/100) + IF(Punteggio!C33=1,(FantaCulo!D33/100)-1, 0) - IF(Punteggio!C33=0,(FantaCulo!C33/100), 0)</f>
        <v>0</v>
      </c>
      <c r="F33" s="71">
        <v>66.66</v>
      </c>
      <c r="G33" s="71">
        <v>11.11</v>
      </c>
      <c r="H33" s="71">
        <v>22.23</v>
      </c>
      <c r="I33" s="43">
        <f>Punteggio!E33 - (3*FantaCulo!F33/100) + IF(Punteggio!E33=1,(FantaCulo!H33/100)-1, 0) - IF(Punteggio!E33=0,(FantaCulo!G33/100), 0)</f>
        <v>1.0002000000000002</v>
      </c>
      <c r="J33" s="71">
        <v>88.88</v>
      </c>
      <c r="K33" s="71">
        <v>11.12</v>
      </c>
      <c r="L33" s="71">
        <v>0</v>
      </c>
      <c r="M33" s="43">
        <f>Punteggio!G33 - (3*FantaCulo!J33/100) + IF(Punteggio!G33=1,(FantaCulo!L33/100)-1, 0) - IF(Punteggio!G33=0,(FantaCulo!K33/100), 0)</f>
        <v>-2.6663999999999999</v>
      </c>
      <c r="N33" s="71">
        <v>33.33</v>
      </c>
      <c r="O33" s="71">
        <v>22.22</v>
      </c>
      <c r="P33" s="71">
        <v>44.45</v>
      </c>
      <c r="Q33" s="43">
        <f>Punteggio!I33 - (3*FantaCulo!N33/100) + IF(Punteggio!I33=1,(FantaCulo!P33/100)-1, 0) - IF(Punteggio!I33=0,(FantaCulo!O33/100), 0)</f>
        <v>-1.2221</v>
      </c>
      <c r="R33" s="71">
        <v>88.88</v>
      </c>
      <c r="S33" s="71">
        <v>11.12</v>
      </c>
      <c r="T33" s="71">
        <v>0</v>
      </c>
      <c r="U33" s="43">
        <f>Punteggio!K33 - (3*FantaCulo!R33/100) + IF(Punteggio!K33=1,(FantaCulo!T33/100)-1, 0) - IF(Punteggio!K33=0,(FantaCulo!S33/100), 0)</f>
        <v>-2.6663999999999999</v>
      </c>
      <c r="V33" s="71">
        <v>33.33</v>
      </c>
      <c r="W33" s="71">
        <v>22.22</v>
      </c>
      <c r="X33" s="71">
        <v>44.45</v>
      </c>
      <c r="Y33" s="43">
        <f>Punteggio!M33 - (3*FantaCulo!V33/100) + IF(Punteggio!M33=1,(FantaCulo!X33/100)-1, 0) - IF(Punteggio!M33=0,(FantaCulo!W33/100), 0)</f>
        <v>2.0001000000000002</v>
      </c>
      <c r="Z33" s="71">
        <v>33.33</v>
      </c>
      <c r="AA33" s="71">
        <v>22.22</v>
      </c>
      <c r="AB33" s="71">
        <v>44.45</v>
      </c>
      <c r="AC33" s="43">
        <f>Punteggio!O33 - (3*FantaCulo!Z33/100) + IF(Punteggio!O33=1,(FantaCulo!AB33/100)-1, 0) - IF(Punteggio!O33=0,(FantaCulo!AA33/100), 0)</f>
        <v>2.0001000000000002</v>
      </c>
      <c r="AD33" s="71">
        <v>66.66</v>
      </c>
      <c r="AE33" s="71">
        <v>11.11</v>
      </c>
      <c r="AF33" s="71">
        <v>22.23</v>
      </c>
      <c r="AG33" s="43">
        <f>Punteggio!Q33 - (3*FantaCulo!AD33/100) + IF(Punteggio!Q33=1,(FantaCulo!AF33/100)-1, 0) - IF(Punteggio!Q33=0,(FantaCulo!AE33/100), 0)</f>
        <v>1.0002000000000002</v>
      </c>
      <c r="AH33" s="71">
        <v>11.11</v>
      </c>
      <c r="AI33" s="71">
        <v>11.11</v>
      </c>
      <c r="AJ33" s="71">
        <v>77.78</v>
      </c>
      <c r="AK33" s="43">
        <f>Punteggio!S33 - (3*FantaCulo!AH33/100) + IF(Punteggio!S33=1,(FantaCulo!AJ33/100)-1, 0) - IF(Punteggio!S33=0,(FantaCulo!AI33/100), 0)</f>
        <v>-0.44439999999999996</v>
      </c>
      <c r="AL33" s="71">
        <v>11.11</v>
      </c>
      <c r="AM33" s="71">
        <v>11.11</v>
      </c>
      <c r="AN33" s="71">
        <v>77.78</v>
      </c>
      <c r="AO33" s="43">
        <f>Punteggio!U33 - (3*FantaCulo!AL33/100) + IF(Punteggio!U33=1,(FantaCulo!AN33/100)-1, 0) - IF(Punteggio!U33=0,(FantaCulo!AM33/100), 0)</f>
        <v>-0.44439999999999996</v>
      </c>
    </row>
    <row r="34" spans="1:41" s="75" customFormat="1" ht="15" x14ac:dyDescent="0.25">
      <c r="A34" s="77">
        <v>32</v>
      </c>
      <c r="B34" s="72">
        <v>22.22</v>
      </c>
      <c r="C34" s="72">
        <v>11.11</v>
      </c>
      <c r="D34" s="72">
        <v>66.67</v>
      </c>
      <c r="E34" s="73">
        <f>Punteggio!C34 - (3*FantaCulo!B34/100) + IF(Punteggio!C34=1,(FantaCulo!D34/100)-1, 0) - IF(Punteggio!C34=0,(FantaCulo!C34/100), 0)</f>
        <v>2.3334000000000001</v>
      </c>
      <c r="F34" s="72">
        <v>44.44</v>
      </c>
      <c r="G34" s="72">
        <v>33.33</v>
      </c>
      <c r="H34" s="72">
        <v>22.23</v>
      </c>
      <c r="I34" s="73">
        <f>Punteggio!E34 - (3*FantaCulo!F34/100) + IF(Punteggio!E34=1,(FantaCulo!H34/100)-1, 0) - IF(Punteggio!E34=0,(FantaCulo!G34/100), 0)</f>
        <v>1.6668000000000001</v>
      </c>
      <c r="J34" s="72">
        <v>44.44</v>
      </c>
      <c r="K34" s="72">
        <v>33.33</v>
      </c>
      <c r="L34" s="72">
        <v>22.23</v>
      </c>
      <c r="M34" s="73">
        <f>Punteggio!G34 - (3*FantaCulo!J34/100) + IF(Punteggio!G34=1,(FantaCulo!L34/100)-1, 0) - IF(Punteggio!G34=0,(FantaCulo!K34/100), 0)</f>
        <v>-1.1109</v>
      </c>
      <c r="N34" s="72">
        <v>0</v>
      </c>
      <c r="O34" s="72">
        <v>11.11</v>
      </c>
      <c r="P34" s="72">
        <v>88.89</v>
      </c>
      <c r="Q34" s="73">
        <f>Punteggio!I34 - (3*FantaCulo!N34/100) + IF(Punteggio!I34=1,(FantaCulo!P34/100)-1, 0) - IF(Punteggio!I34=0,(FantaCulo!O34/100), 0)</f>
        <v>-0.11109999999999999</v>
      </c>
      <c r="R34" s="72">
        <v>88.88</v>
      </c>
      <c r="S34" s="72">
        <v>0</v>
      </c>
      <c r="T34" s="72">
        <v>11.12</v>
      </c>
      <c r="U34" s="73">
        <f>Punteggio!K34 - (3*FantaCulo!R34/100) + IF(Punteggio!K34=1,(FantaCulo!T34/100)-1, 0) - IF(Punteggio!K34=0,(FantaCulo!S34/100), 0)</f>
        <v>-2.6663999999999999</v>
      </c>
      <c r="V34" s="72">
        <v>0</v>
      </c>
      <c r="W34" s="72">
        <v>11.11</v>
      </c>
      <c r="X34" s="72">
        <v>88.89</v>
      </c>
      <c r="Y34" s="73">
        <f>Punteggio!M34 - (3*FantaCulo!V34/100) + IF(Punteggio!M34=1,(FantaCulo!X34/100)-1, 0) - IF(Punteggio!M34=0,(FantaCulo!W34/100), 0)</f>
        <v>-0.11109999999999999</v>
      </c>
      <c r="Z34" s="72">
        <v>100</v>
      </c>
      <c r="AA34" s="72">
        <v>0</v>
      </c>
      <c r="AB34" s="72">
        <v>0</v>
      </c>
      <c r="AC34" s="73">
        <f>Punteggio!O34 - (3*FantaCulo!Z34/100) + IF(Punteggio!O34=1,(FantaCulo!AB34/100)-1, 0) - IF(Punteggio!O34=0,(FantaCulo!AA34/100), 0)</f>
        <v>0</v>
      </c>
      <c r="AD34" s="72">
        <v>44.44</v>
      </c>
      <c r="AE34" s="72">
        <v>33.33</v>
      </c>
      <c r="AF34" s="72">
        <v>22.23</v>
      </c>
      <c r="AG34" s="73">
        <f>Punteggio!Q34 - (3*FantaCulo!AD34/100) + IF(Punteggio!Q34=1,(FantaCulo!AF34/100)-1, 0) - IF(Punteggio!Q34=0,(FantaCulo!AE34/100), 0)</f>
        <v>-1.1109</v>
      </c>
      <c r="AH34" s="72">
        <v>22.22</v>
      </c>
      <c r="AI34" s="72">
        <v>11.11</v>
      </c>
      <c r="AJ34" s="72">
        <v>66.67</v>
      </c>
      <c r="AK34" s="73">
        <f>Punteggio!S34 - (3*FantaCulo!AH34/100) + IF(Punteggio!S34=1,(FantaCulo!AJ34/100)-1, 0) - IF(Punteggio!S34=0,(FantaCulo!AI34/100), 0)</f>
        <v>-0.77769999999999995</v>
      </c>
      <c r="AL34" s="72">
        <v>44.44</v>
      </c>
      <c r="AM34" s="72">
        <v>33.33</v>
      </c>
      <c r="AN34" s="72">
        <v>22.23</v>
      </c>
      <c r="AO34" s="73">
        <f>Punteggio!U34 - (3*FantaCulo!AL34/100) + IF(Punteggio!U34=1,(FantaCulo!AN34/100)-1, 0) - IF(Punteggio!U34=0,(FantaCulo!AM34/100), 0)</f>
        <v>1.6668000000000001</v>
      </c>
    </row>
    <row r="35" spans="1:41" ht="15" x14ac:dyDescent="0.25">
      <c r="A35" s="76">
        <v>33</v>
      </c>
      <c r="B35" s="71">
        <v>11.11</v>
      </c>
      <c r="C35" s="71">
        <v>11.11</v>
      </c>
      <c r="D35" s="71">
        <v>77.78</v>
      </c>
      <c r="E35" s="43">
        <f>Punteggio!C35 - (3*FantaCulo!B35/100) + IF(Punteggio!C35=1,(FantaCulo!D35/100)-1, 0) - IF(Punteggio!C35=0,(FantaCulo!C35/100), 0)</f>
        <v>-0.44439999999999996</v>
      </c>
      <c r="F35" s="71">
        <v>33.33</v>
      </c>
      <c r="G35" s="71">
        <v>33.33</v>
      </c>
      <c r="H35" s="71">
        <v>33.340000000000003</v>
      </c>
      <c r="I35" s="43">
        <f>Punteggio!E35 - (3*FantaCulo!F35/100) + IF(Punteggio!E35=1,(FantaCulo!H35/100)-1, 0) - IF(Punteggio!E35=0,(FantaCulo!G35/100), 0)</f>
        <v>2.0001000000000002</v>
      </c>
      <c r="J35" s="71">
        <v>33.33</v>
      </c>
      <c r="K35" s="71">
        <v>33.33</v>
      </c>
      <c r="L35" s="71">
        <v>33.340000000000003</v>
      </c>
      <c r="M35" s="43">
        <f>Punteggio!G35 - (3*FantaCulo!J35/100) + IF(Punteggio!G35=1,(FantaCulo!L35/100)-1, 0) - IF(Punteggio!G35=0,(FantaCulo!K35/100), 0)</f>
        <v>2.0001000000000002</v>
      </c>
      <c r="N35" s="71">
        <v>33.33</v>
      </c>
      <c r="O35" s="71">
        <v>33.33</v>
      </c>
      <c r="P35" s="71">
        <v>33.340000000000003</v>
      </c>
      <c r="Q35" s="43">
        <f>Punteggio!I35 - (3*FantaCulo!N35/100) + IF(Punteggio!I35=1,(FantaCulo!P35/100)-1, 0) - IF(Punteggio!I35=0,(FantaCulo!O35/100), 0)</f>
        <v>-0.66649999999999987</v>
      </c>
      <c r="R35" s="71">
        <v>77.77</v>
      </c>
      <c r="S35" s="71">
        <v>22.23</v>
      </c>
      <c r="T35" s="71">
        <v>0</v>
      </c>
      <c r="U35" s="43">
        <f>Punteggio!K35 - (3*FantaCulo!R35/100) + IF(Punteggio!K35=1,(FantaCulo!T35/100)-1, 0) - IF(Punteggio!K35=0,(FantaCulo!S35/100), 0)</f>
        <v>0.66690000000000005</v>
      </c>
      <c r="V35" s="71">
        <v>11.11</v>
      </c>
      <c r="W35" s="71">
        <v>11.11</v>
      </c>
      <c r="X35" s="71">
        <v>77.78</v>
      </c>
      <c r="Y35" s="43">
        <f>Punteggio!M35 - (3*FantaCulo!V35/100) + IF(Punteggio!M35=1,(FantaCulo!X35/100)-1, 0) - IF(Punteggio!M35=0,(FantaCulo!W35/100), 0)</f>
        <v>-0.44439999999999996</v>
      </c>
      <c r="Z35" s="71">
        <v>77.77</v>
      </c>
      <c r="AA35" s="71">
        <v>22.23</v>
      </c>
      <c r="AB35" s="71">
        <v>0</v>
      </c>
      <c r="AC35" s="43">
        <f>Punteggio!O35 - (3*FantaCulo!Z35/100) + IF(Punteggio!O35=1,(FantaCulo!AB35/100)-1, 0) - IF(Punteggio!O35=0,(FantaCulo!AA35/100), 0)</f>
        <v>-2.3331</v>
      </c>
      <c r="AD35" s="71">
        <v>77.77</v>
      </c>
      <c r="AE35" s="71">
        <v>22.23</v>
      </c>
      <c r="AF35" s="71">
        <v>0</v>
      </c>
      <c r="AG35" s="43">
        <f>Punteggio!Q35 - (3*FantaCulo!AD35/100) + IF(Punteggio!Q35=1,(FantaCulo!AF35/100)-1, 0) - IF(Punteggio!Q35=0,(FantaCulo!AE35/100), 0)</f>
        <v>-2.3331</v>
      </c>
      <c r="AH35" s="71">
        <v>0</v>
      </c>
      <c r="AI35" s="71">
        <v>0</v>
      </c>
      <c r="AJ35" s="71">
        <v>100</v>
      </c>
      <c r="AK35" s="43">
        <f>Punteggio!S35 - (3*FantaCulo!AH35/100) + IF(Punteggio!S35=1,(FantaCulo!AJ35/100)-1, 0) - IF(Punteggio!S35=0,(FantaCulo!AI35/100), 0)</f>
        <v>0</v>
      </c>
      <c r="AL35" s="71">
        <v>33.33</v>
      </c>
      <c r="AM35" s="71">
        <v>33.33</v>
      </c>
      <c r="AN35" s="71">
        <v>33.340000000000003</v>
      </c>
      <c r="AO35" s="43">
        <f>Punteggio!U35 - (3*FantaCulo!AL35/100) + IF(Punteggio!U35=1,(FantaCulo!AN35/100)-1, 0) - IF(Punteggio!U35=0,(FantaCulo!AM35/100), 0)</f>
        <v>-0.66649999999999987</v>
      </c>
    </row>
    <row r="36" spans="1:41" s="75" customFormat="1" ht="15" x14ac:dyDescent="0.25">
      <c r="A36" s="77">
        <v>34</v>
      </c>
      <c r="B36" s="72">
        <v>33.33</v>
      </c>
      <c r="C36" s="72">
        <v>11.11</v>
      </c>
      <c r="D36" s="72">
        <v>55.56</v>
      </c>
      <c r="E36" s="73">
        <f>Punteggio!C36 - (3*FantaCulo!B36/100) + IF(Punteggio!C36=1,(FantaCulo!D36/100)-1, 0) - IF(Punteggio!C36=0,(FantaCulo!C36/100), 0)</f>
        <v>2.0001000000000002</v>
      </c>
      <c r="F36" s="72">
        <v>77.77</v>
      </c>
      <c r="G36" s="72">
        <v>22.23</v>
      </c>
      <c r="H36" s="72">
        <v>0</v>
      </c>
      <c r="I36" s="73">
        <f>Punteggio!E36 - (3*FantaCulo!F36/100) + IF(Punteggio!E36=1,(FantaCulo!H36/100)-1, 0) - IF(Punteggio!E36=0,(FantaCulo!G36/100), 0)</f>
        <v>0.66690000000000005</v>
      </c>
      <c r="J36" s="72">
        <v>77.77</v>
      </c>
      <c r="K36" s="72">
        <v>22.23</v>
      </c>
      <c r="L36" s="72">
        <v>0</v>
      </c>
      <c r="M36" s="73">
        <f>Punteggio!G36 - (3*FantaCulo!J36/100) + IF(Punteggio!G36=1,(FantaCulo!L36/100)-1, 0) - IF(Punteggio!G36=0,(FantaCulo!K36/100), 0)</f>
        <v>-2.3331</v>
      </c>
      <c r="N36" s="72">
        <v>0</v>
      </c>
      <c r="O36" s="72">
        <v>22.22</v>
      </c>
      <c r="P36" s="72">
        <v>77.78</v>
      </c>
      <c r="Q36" s="73">
        <f>Punteggio!I36 - (3*FantaCulo!N36/100) + IF(Punteggio!I36=1,(FantaCulo!P36/100)-1, 0) - IF(Punteggio!I36=0,(FantaCulo!O36/100), 0)</f>
        <v>-0.22219999999999998</v>
      </c>
      <c r="R36" s="72">
        <v>33.33</v>
      </c>
      <c r="S36" s="72">
        <v>11.11</v>
      </c>
      <c r="T36" s="72">
        <v>55.56</v>
      </c>
      <c r="U36" s="73">
        <f>Punteggio!K36 - (3*FantaCulo!R36/100) + IF(Punteggio!K36=1,(FantaCulo!T36/100)-1, 0) - IF(Punteggio!K36=0,(FantaCulo!S36/100), 0)</f>
        <v>-1.111</v>
      </c>
      <c r="V36" s="72">
        <v>55.55</v>
      </c>
      <c r="W36" s="72">
        <v>11.11</v>
      </c>
      <c r="X36" s="72">
        <v>33.340000000000003</v>
      </c>
      <c r="Y36" s="73">
        <f>Punteggio!M36 - (3*FantaCulo!V36/100) + IF(Punteggio!M36=1,(FantaCulo!X36/100)-1, 0) - IF(Punteggio!M36=0,(FantaCulo!W36/100), 0)</f>
        <v>1.3335000000000001</v>
      </c>
      <c r="Z36" s="72">
        <v>0</v>
      </c>
      <c r="AA36" s="72">
        <v>22.22</v>
      </c>
      <c r="AB36" s="72">
        <v>77.78</v>
      </c>
      <c r="AC36" s="73">
        <f>Punteggio!O36 - (3*FantaCulo!Z36/100) + IF(Punteggio!O36=1,(FantaCulo!AB36/100)-1, 0) - IF(Punteggio!O36=0,(FantaCulo!AA36/100), 0)</f>
        <v>-0.22219999999999998</v>
      </c>
      <c r="AD36" s="72">
        <v>0</v>
      </c>
      <c r="AE36" s="72">
        <v>22.22</v>
      </c>
      <c r="AF36" s="72">
        <v>77.78</v>
      </c>
      <c r="AG36" s="73">
        <f>Punteggio!Q36 - (3*FantaCulo!AD36/100) + IF(Punteggio!Q36=1,(FantaCulo!AF36/100)-1, 0) - IF(Punteggio!Q36=0,(FantaCulo!AE36/100), 0)</f>
        <v>-0.22219999999999998</v>
      </c>
      <c r="AH36" s="72">
        <v>55.55</v>
      </c>
      <c r="AI36" s="72">
        <v>11.11</v>
      </c>
      <c r="AJ36" s="72">
        <v>33.340000000000003</v>
      </c>
      <c r="AK36" s="73">
        <f>Punteggio!S36 - (3*FantaCulo!AH36/100) + IF(Punteggio!S36=1,(FantaCulo!AJ36/100)-1, 0) - IF(Punteggio!S36=0,(FantaCulo!AI36/100), 0)</f>
        <v>1.3335000000000001</v>
      </c>
      <c r="AL36" s="72">
        <v>77.77</v>
      </c>
      <c r="AM36" s="72">
        <v>22.23</v>
      </c>
      <c r="AN36" s="72">
        <v>0</v>
      </c>
      <c r="AO36" s="73">
        <f>Punteggio!U36 - (3*FantaCulo!AL36/100) + IF(Punteggio!U36=1,(FantaCulo!AN36/100)-1, 0) - IF(Punteggio!U36=0,(FantaCulo!AM36/100), 0)</f>
        <v>-2.3331</v>
      </c>
    </row>
    <row r="37" spans="1:41" ht="15" x14ac:dyDescent="0.25">
      <c r="A37" s="76">
        <v>35</v>
      </c>
      <c r="B37" s="71">
        <v>77.77</v>
      </c>
      <c r="C37" s="71">
        <v>22.23</v>
      </c>
      <c r="D37" s="71">
        <v>0</v>
      </c>
      <c r="E37" s="43">
        <f>Punteggio!C37 - (3*FantaCulo!B37/100) + IF(Punteggio!C37=1,(FantaCulo!D37/100)-1, 0) - IF(Punteggio!C37=0,(FantaCulo!C37/100), 0)</f>
        <v>0.66690000000000005</v>
      </c>
      <c r="F37" s="71">
        <v>33.33</v>
      </c>
      <c r="G37" s="71">
        <v>0</v>
      </c>
      <c r="H37" s="71">
        <v>66.67</v>
      </c>
      <c r="I37" s="43">
        <f>Punteggio!E37 - (3*FantaCulo!F37/100) + IF(Punteggio!E37=1,(FantaCulo!H37/100)-1, 0) - IF(Punteggio!E37=0,(FantaCulo!G37/100), 0)</f>
        <v>2.0001000000000002</v>
      </c>
      <c r="J37" s="71">
        <v>0</v>
      </c>
      <c r="K37" s="71">
        <v>22.22</v>
      </c>
      <c r="L37" s="71">
        <v>77.78</v>
      </c>
      <c r="M37" s="43">
        <f>Punteggio!G37 - (3*FantaCulo!J37/100) + IF(Punteggio!G37=1,(FantaCulo!L37/100)-1, 0) - IF(Punteggio!G37=0,(FantaCulo!K37/100), 0)</f>
        <v>0.77780000000000005</v>
      </c>
      <c r="N37" s="71">
        <v>0</v>
      </c>
      <c r="O37" s="71">
        <v>22.22</v>
      </c>
      <c r="P37" s="71">
        <v>77.78</v>
      </c>
      <c r="Q37" s="43">
        <f>Punteggio!I37 - (3*FantaCulo!N37/100) + IF(Punteggio!I37=1,(FantaCulo!P37/100)-1, 0) - IF(Punteggio!I37=0,(FantaCulo!O37/100), 0)</f>
        <v>-0.22219999999999998</v>
      </c>
      <c r="R37" s="71">
        <v>77.77</v>
      </c>
      <c r="S37" s="71">
        <v>22.23</v>
      </c>
      <c r="T37" s="71">
        <v>0</v>
      </c>
      <c r="U37" s="43">
        <f>Punteggio!K37 - (3*FantaCulo!R37/100) + IF(Punteggio!K37=1,(FantaCulo!T37/100)-1, 0) - IF(Punteggio!K37=0,(FantaCulo!S37/100), 0)</f>
        <v>-2.3331</v>
      </c>
      <c r="V37" s="71">
        <v>0</v>
      </c>
      <c r="W37" s="71">
        <v>22.22</v>
      </c>
      <c r="X37" s="71">
        <v>77.78</v>
      </c>
      <c r="Y37" s="43">
        <f>Punteggio!M37 - (3*FantaCulo!V37/100) + IF(Punteggio!M37=1,(FantaCulo!X37/100)-1, 0) - IF(Punteggio!M37=0,(FantaCulo!W37/100), 0)</f>
        <v>0.77780000000000005</v>
      </c>
      <c r="Z37" s="71">
        <v>44.44</v>
      </c>
      <c r="AA37" s="71">
        <v>22.22</v>
      </c>
      <c r="AB37" s="71">
        <v>33.340000000000003</v>
      </c>
      <c r="AC37" s="43">
        <f>Punteggio!O37 - (3*FantaCulo!Z37/100) + IF(Punteggio!O37=1,(FantaCulo!AB37/100)-1, 0) - IF(Punteggio!O37=0,(FantaCulo!AA37/100), 0)</f>
        <v>-0.99979999999999991</v>
      </c>
      <c r="AD37" s="71">
        <v>77.77</v>
      </c>
      <c r="AE37" s="71">
        <v>22.23</v>
      </c>
      <c r="AF37" s="71">
        <v>0</v>
      </c>
      <c r="AG37" s="43">
        <f>Punteggio!Q37 - (3*FantaCulo!AD37/100) + IF(Punteggio!Q37=1,(FantaCulo!AF37/100)-1, 0) - IF(Punteggio!Q37=0,(FantaCulo!AE37/100), 0)</f>
        <v>-2.3331</v>
      </c>
      <c r="AH37" s="71">
        <v>44.44</v>
      </c>
      <c r="AI37" s="71">
        <v>22.22</v>
      </c>
      <c r="AJ37" s="71">
        <v>33.340000000000003</v>
      </c>
      <c r="AK37" s="43">
        <f>Punteggio!S37 - (3*FantaCulo!AH37/100) + IF(Punteggio!S37=1,(FantaCulo!AJ37/100)-1, 0) - IF(Punteggio!S37=0,(FantaCulo!AI37/100), 0)</f>
        <v>-1.5553999999999999</v>
      </c>
      <c r="AL37" s="71">
        <v>44.44</v>
      </c>
      <c r="AM37" s="71">
        <v>22.22</v>
      </c>
      <c r="AN37" s="71">
        <v>33.340000000000003</v>
      </c>
      <c r="AO37" s="43">
        <f>Punteggio!U37 - (3*FantaCulo!AL37/100) + IF(Punteggio!U37=1,(FantaCulo!AN37/100)-1, 0) - IF(Punteggio!U37=0,(FantaCulo!AM37/100), 0)</f>
        <v>-0.99979999999999991</v>
      </c>
    </row>
    <row r="38" spans="1:41" s="75" customFormat="1" ht="15.75" thickBot="1" x14ac:dyDescent="0.3">
      <c r="A38" s="77">
        <v>36</v>
      </c>
      <c r="B38" s="72"/>
      <c r="C38" s="72"/>
      <c r="D38" s="72"/>
      <c r="E38" s="73"/>
      <c r="F38" s="79"/>
      <c r="G38" s="79"/>
      <c r="H38" s="79"/>
      <c r="I38" s="73"/>
      <c r="J38" s="79"/>
      <c r="K38" s="79"/>
      <c r="L38" s="79"/>
      <c r="M38" s="73"/>
      <c r="N38" s="79"/>
      <c r="O38" s="79"/>
      <c r="P38" s="79"/>
      <c r="Q38" s="73"/>
      <c r="R38" s="79"/>
      <c r="S38" s="79"/>
      <c r="T38" s="79"/>
      <c r="U38" s="73"/>
      <c r="V38" s="79"/>
      <c r="W38" s="79"/>
      <c r="X38" s="79"/>
      <c r="Y38" s="73"/>
      <c r="Z38" s="79"/>
      <c r="AA38" s="79"/>
      <c r="AB38" s="79"/>
      <c r="AC38" s="73"/>
      <c r="AD38" s="79"/>
      <c r="AE38" s="79"/>
      <c r="AF38" s="79"/>
      <c r="AG38" s="73"/>
      <c r="AH38" s="79"/>
      <c r="AI38" s="79"/>
      <c r="AJ38" s="79"/>
      <c r="AK38" s="73"/>
      <c r="AL38" s="79"/>
      <c r="AM38" s="79"/>
      <c r="AN38" s="79"/>
      <c r="AO38" s="73"/>
    </row>
    <row r="39" spans="1:41" ht="15" thickBot="1" x14ac:dyDescent="0.25"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1:41" ht="15" x14ac:dyDescent="0.25">
      <c r="A40" s="381" t="s">
        <v>281</v>
      </c>
      <c r="B40" s="396">
        <f>SUM(E3:E38)</f>
        <v>11.781700000000003</v>
      </c>
      <c r="C40" s="397"/>
      <c r="D40" s="397"/>
      <c r="E40" s="398"/>
      <c r="F40" s="396">
        <f>SUM(I3:I38)</f>
        <v>12.115800000000004</v>
      </c>
      <c r="G40" s="397"/>
      <c r="H40" s="397"/>
      <c r="I40" s="398"/>
      <c r="J40" s="396">
        <f>SUM(M3:M38)</f>
        <v>0.89360000000000284</v>
      </c>
      <c r="K40" s="397"/>
      <c r="L40" s="397"/>
      <c r="M40" s="398"/>
      <c r="N40" s="396">
        <f>SUM(Q3:Q38)</f>
        <v>-6.9960999999999984</v>
      </c>
      <c r="O40" s="397"/>
      <c r="P40" s="397"/>
      <c r="Q40" s="398"/>
      <c r="R40" s="396">
        <f>SUM(U3:U38)</f>
        <v>-2.1066999999999965</v>
      </c>
      <c r="S40" s="397"/>
      <c r="T40" s="397"/>
      <c r="U40" s="398"/>
      <c r="V40" s="396">
        <f>SUM(Y3:Y38)</f>
        <v>-4.5517999999999983</v>
      </c>
      <c r="W40" s="397"/>
      <c r="X40" s="397"/>
      <c r="Y40" s="398"/>
      <c r="Z40" s="396">
        <f>SUM(AC3:AC38)</f>
        <v>0.11500000000000254</v>
      </c>
      <c r="AA40" s="397"/>
      <c r="AB40" s="397"/>
      <c r="AC40" s="398"/>
      <c r="AD40" s="396">
        <f>SUM(AG3:AG38)</f>
        <v>-6.885399999999998</v>
      </c>
      <c r="AE40" s="397"/>
      <c r="AF40" s="397"/>
      <c r="AG40" s="398"/>
      <c r="AH40" s="396">
        <f>SUM(AK3:AK38)</f>
        <v>-2.1072999999999973</v>
      </c>
      <c r="AI40" s="397"/>
      <c r="AJ40" s="397"/>
      <c r="AK40" s="398"/>
      <c r="AL40" s="396">
        <f>SUM(AO3:AO38)</f>
        <v>9.4487000000000076</v>
      </c>
      <c r="AM40" s="397"/>
      <c r="AN40" s="397"/>
      <c r="AO40" s="399"/>
    </row>
    <row r="41" spans="1:41" ht="15" x14ac:dyDescent="0.25">
      <c r="A41" s="381"/>
      <c r="B41" s="386">
        <f>B40</f>
        <v>11.781700000000003</v>
      </c>
      <c r="C41" s="386"/>
      <c r="D41" s="386"/>
      <c r="E41" s="386"/>
      <c r="F41" s="386">
        <f t="shared" ref="F41" si="0">F40</f>
        <v>12.115800000000004</v>
      </c>
      <c r="G41" s="386"/>
      <c r="H41" s="386"/>
      <c r="I41" s="386"/>
      <c r="J41" s="386">
        <f t="shared" ref="J41" si="1">J40</f>
        <v>0.89360000000000284</v>
      </c>
      <c r="K41" s="386"/>
      <c r="L41" s="386"/>
      <c r="M41" s="386"/>
      <c r="N41" s="386">
        <f t="shared" ref="N41" si="2">N40</f>
        <v>-6.9960999999999984</v>
      </c>
      <c r="O41" s="386"/>
      <c r="P41" s="386"/>
      <c r="Q41" s="386"/>
      <c r="R41" s="386">
        <f t="shared" ref="R41" si="3">R40</f>
        <v>-2.1066999999999965</v>
      </c>
      <c r="S41" s="386"/>
      <c r="T41" s="386"/>
      <c r="U41" s="386"/>
      <c r="V41" s="386">
        <f t="shared" ref="V41" si="4">V40</f>
        <v>-4.5517999999999983</v>
      </c>
      <c r="W41" s="386"/>
      <c r="X41" s="386"/>
      <c r="Y41" s="386"/>
      <c r="Z41" s="386">
        <f t="shared" ref="Z41" si="5">Z40</f>
        <v>0.11500000000000254</v>
      </c>
      <c r="AA41" s="386"/>
      <c r="AB41" s="386"/>
      <c r="AC41" s="386"/>
      <c r="AD41" s="386">
        <f t="shared" ref="AD41" si="6">AD40</f>
        <v>-6.885399999999998</v>
      </c>
      <c r="AE41" s="386"/>
      <c r="AF41" s="386"/>
      <c r="AG41" s="386"/>
      <c r="AH41" s="386">
        <f t="shared" ref="AH41" si="7">AH40</f>
        <v>-2.1072999999999973</v>
      </c>
      <c r="AI41" s="386"/>
      <c r="AJ41" s="386"/>
      <c r="AK41" s="386"/>
      <c r="AL41" s="386">
        <f t="shared" ref="AL41" si="8">AL40</f>
        <v>9.4487000000000076</v>
      </c>
      <c r="AM41" s="386"/>
      <c r="AN41" s="386"/>
      <c r="AO41" s="386"/>
    </row>
    <row r="46" spans="1:41" x14ac:dyDescent="0.2">
      <c r="D46" s="85"/>
      <c r="E46" s="85"/>
    </row>
    <row r="47" spans="1:41" x14ac:dyDescent="0.2">
      <c r="D47" s="85"/>
      <c r="E47" s="85"/>
    </row>
    <row r="48" spans="1:41" x14ac:dyDescent="0.2">
      <c r="D48" s="85"/>
      <c r="E48" s="85"/>
    </row>
    <row r="49" spans="4:5" x14ac:dyDescent="0.2">
      <c r="D49" s="85"/>
      <c r="E49" s="85"/>
    </row>
    <row r="50" spans="4:5" x14ac:dyDescent="0.2">
      <c r="D50" s="85"/>
      <c r="E50" s="85"/>
    </row>
    <row r="51" spans="4:5" x14ac:dyDescent="0.2">
      <c r="D51" s="85"/>
      <c r="E51" s="85"/>
    </row>
    <row r="52" spans="4:5" x14ac:dyDescent="0.2">
      <c r="D52" s="85"/>
      <c r="E52" s="85"/>
    </row>
    <row r="53" spans="4:5" x14ac:dyDescent="0.2">
      <c r="D53" s="85"/>
      <c r="E53" s="85"/>
    </row>
    <row r="54" spans="4:5" x14ac:dyDescent="0.2">
      <c r="D54" s="85"/>
      <c r="E54" s="85"/>
    </row>
    <row r="55" spans="4:5" x14ac:dyDescent="0.2">
      <c r="D55" s="85"/>
      <c r="E55" s="85"/>
    </row>
  </sheetData>
  <sortState ref="AQ3:AR12">
    <sortCondition descending="1" ref="AR3"/>
  </sortState>
  <mergeCells count="31">
    <mergeCell ref="AL41:AO41"/>
    <mergeCell ref="R41:U41"/>
    <mergeCell ref="V41:Y41"/>
    <mergeCell ref="Z41:AC41"/>
    <mergeCell ref="AD41:AG41"/>
    <mergeCell ref="AH41:AK41"/>
    <mergeCell ref="V40:Y40"/>
    <mergeCell ref="Z40:AC40"/>
    <mergeCell ref="AD40:AG40"/>
    <mergeCell ref="AH40:AK40"/>
    <mergeCell ref="AL40:AO40"/>
    <mergeCell ref="R1:U1"/>
    <mergeCell ref="B40:E40"/>
    <mergeCell ref="F40:I40"/>
    <mergeCell ref="J40:M40"/>
    <mergeCell ref="N40:Q40"/>
    <mergeCell ref="R40:U40"/>
    <mergeCell ref="AL1:AO1"/>
    <mergeCell ref="AH1:AK1"/>
    <mergeCell ref="AD1:AG1"/>
    <mergeCell ref="Z1:AC1"/>
    <mergeCell ref="V1:Y1"/>
    <mergeCell ref="A40:A41"/>
    <mergeCell ref="B1:E1"/>
    <mergeCell ref="F1:I1"/>
    <mergeCell ref="J1:M1"/>
    <mergeCell ref="N1:Q1"/>
    <mergeCell ref="B41:E41"/>
    <mergeCell ref="F41:I41"/>
    <mergeCell ref="J41:M41"/>
    <mergeCell ref="N41:Q4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F88"/>
  <sheetViews>
    <sheetView zoomScale="115" zoomScaleNormal="115" workbookViewId="0">
      <pane ySplit="1" topLeftCell="A2" activePane="bottomLeft" state="frozen"/>
      <selection pane="bottomLeft" activeCell="Q60" sqref="Q60"/>
    </sheetView>
  </sheetViews>
  <sheetFormatPr defaultRowHeight="14.25" x14ac:dyDescent="0.2"/>
  <cols>
    <col min="1" max="1" width="22" customWidth="1"/>
  </cols>
  <sheetData>
    <row r="1" spans="1:21" ht="15.75" thickBot="1" x14ac:dyDescent="0.3">
      <c r="A1" s="62" t="s">
        <v>268</v>
      </c>
      <c r="B1" s="424" t="s">
        <v>312</v>
      </c>
      <c r="C1" s="425"/>
      <c r="D1" s="426" t="s">
        <v>7</v>
      </c>
      <c r="E1" s="427"/>
      <c r="F1" s="428" t="s">
        <v>304</v>
      </c>
      <c r="G1" s="429"/>
      <c r="H1" s="430" t="s">
        <v>9</v>
      </c>
      <c r="I1" s="431"/>
      <c r="J1" s="432" t="s">
        <v>10</v>
      </c>
      <c r="K1" s="433"/>
      <c r="L1" s="434" t="s">
        <v>267</v>
      </c>
      <c r="M1" s="435"/>
      <c r="N1" s="410" t="s">
        <v>313</v>
      </c>
      <c r="O1" s="411"/>
      <c r="P1" s="412" t="s">
        <v>272</v>
      </c>
      <c r="Q1" s="413"/>
      <c r="R1" s="414" t="s">
        <v>273</v>
      </c>
      <c r="S1" s="415"/>
      <c r="T1" s="416" t="s">
        <v>13</v>
      </c>
      <c r="U1" s="417"/>
    </row>
    <row r="2" spans="1:21" ht="15" x14ac:dyDescent="0.25">
      <c r="A2" s="80"/>
      <c r="B2" s="82" t="s">
        <v>282</v>
      </c>
      <c r="C2" s="114" t="s">
        <v>283</v>
      </c>
      <c r="D2" s="109" t="s">
        <v>282</v>
      </c>
      <c r="E2" s="114" t="s">
        <v>283</v>
      </c>
      <c r="F2" s="109" t="s">
        <v>282</v>
      </c>
      <c r="G2" s="114" t="s">
        <v>283</v>
      </c>
      <c r="H2" s="109" t="s">
        <v>282</v>
      </c>
      <c r="I2" s="114" t="s">
        <v>283</v>
      </c>
      <c r="J2" s="109" t="s">
        <v>282</v>
      </c>
      <c r="K2" s="114" t="s">
        <v>283</v>
      </c>
      <c r="L2" s="109" t="s">
        <v>282</v>
      </c>
      <c r="M2" s="114" t="s">
        <v>283</v>
      </c>
      <c r="N2" s="109" t="s">
        <v>282</v>
      </c>
      <c r="O2" s="114" t="s">
        <v>283</v>
      </c>
      <c r="P2" s="109" t="s">
        <v>282</v>
      </c>
      <c r="Q2" s="114" t="s">
        <v>283</v>
      </c>
      <c r="R2" s="109" t="s">
        <v>282</v>
      </c>
      <c r="S2" s="114" t="s">
        <v>283</v>
      </c>
      <c r="T2" s="109" t="s">
        <v>282</v>
      </c>
      <c r="U2" s="82" t="s">
        <v>283</v>
      </c>
    </row>
    <row r="3" spans="1:21" x14ac:dyDescent="0.2">
      <c r="A3" s="63">
        <v>1</v>
      </c>
      <c r="B3" s="91">
        <v>81.5</v>
      </c>
      <c r="C3" s="81">
        <v>3</v>
      </c>
      <c r="D3" s="154">
        <v>68.5</v>
      </c>
      <c r="E3" s="81">
        <v>1</v>
      </c>
      <c r="F3" s="154">
        <v>69.5</v>
      </c>
      <c r="G3" s="81">
        <v>1</v>
      </c>
      <c r="H3" s="163">
        <v>80</v>
      </c>
      <c r="I3" s="81">
        <v>3</v>
      </c>
      <c r="J3" s="155">
        <v>68.5</v>
      </c>
      <c r="K3" s="81">
        <v>0</v>
      </c>
      <c r="L3" s="163">
        <v>76.5</v>
      </c>
      <c r="M3" s="81">
        <v>0</v>
      </c>
      <c r="N3" s="110">
        <v>61</v>
      </c>
      <c r="O3" s="81">
        <v>0</v>
      </c>
      <c r="P3" s="157">
        <v>62</v>
      </c>
      <c r="Q3" s="81">
        <v>0</v>
      </c>
      <c r="R3" s="110">
        <v>91</v>
      </c>
      <c r="S3" s="81">
        <v>3</v>
      </c>
      <c r="T3" s="161">
        <v>78.5</v>
      </c>
      <c r="U3" s="81">
        <v>3</v>
      </c>
    </row>
    <row r="4" spans="1:21" x14ac:dyDescent="0.2">
      <c r="A4" s="56">
        <v>2</v>
      </c>
      <c r="B4" s="47">
        <v>72.5</v>
      </c>
      <c r="C4" s="44">
        <v>1</v>
      </c>
      <c r="D4" s="111">
        <v>73.5</v>
      </c>
      <c r="E4" s="44">
        <v>1</v>
      </c>
      <c r="F4" s="111">
        <v>85.5</v>
      </c>
      <c r="G4" s="44">
        <v>3</v>
      </c>
      <c r="H4" s="47">
        <v>72.5</v>
      </c>
      <c r="I4" s="208">
        <v>0</v>
      </c>
      <c r="J4" s="111">
        <v>75</v>
      </c>
      <c r="K4" s="44">
        <v>3</v>
      </c>
      <c r="L4" s="47">
        <v>70</v>
      </c>
      <c r="M4" s="208">
        <v>0</v>
      </c>
      <c r="N4" s="47">
        <v>75</v>
      </c>
      <c r="O4" s="208">
        <v>0</v>
      </c>
      <c r="P4" s="111">
        <v>68</v>
      </c>
      <c r="Q4" s="44">
        <v>1</v>
      </c>
      <c r="R4" s="111">
        <v>81</v>
      </c>
      <c r="S4" s="44">
        <v>3</v>
      </c>
      <c r="T4" s="111">
        <v>70.5</v>
      </c>
      <c r="U4" s="44">
        <v>1</v>
      </c>
    </row>
    <row r="5" spans="1:21" x14ac:dyDescent="0.2">
      <c r="A5" s="56">
        <v>3</v>
      </c>
      <c r="B5" s="78">
        <v>67.5</v>
      </c>
      <c r="C5" s="74">
        <v>0</v>
      </c>
      <c r="D5" s="112">
        <v>76</v>
      </c>
      <c r="E5" s="74">
        <v>3</v>
      </c>
      <c r="F5" s="135">
        <v>83</v>
      </c>
      <c r="G5" s="74">
        <v>3</v>
      </c>
      <c r="H5" s="203">
        <v>72.5</v>
      </c>
      <c r="I5" s="209">
        <v>0</v>
      </c>
      <c r="J5" s="117">
        <v>79</v>
      </c>
      <c r="K5" s="74">
        <v>3</v>
      </c>
      <c r="L5" s="153">
        <v>73</v>
      </c>
      <c r="M5" s="74">
        <v>3</v>
      </c>
      <c r="N5" s="146">
        <v>69</v>
      </c>
      <c r="O5" s="74">
        <v>0</v>
      </c>
      <c r="P5" s="156">
        <v>67</v>
      </c>
      <c r="Q5" s="74">
        <v>0</v>
      </c>
      <c r="R5" s="147">
        <v>62</v>
      </c>
      <c r="S5" s="74">
        <v>0</v>
      </c>
      <c r="T5" s="138">
        <v>79.5</v>
      </c>
      <c r="U5" s="74">
        <v>3</v>
      </c>
    </row>
    <row r="6" spans="1:21" x14ac:dyDescent="0.2">
      <c r="A6" s="56">
        <v>4</v>
      </c>
      <c r="B6" s="47">
        <v>73.5</v>
      </c>
      <c r="C6" s="44">
        <v>3</v>
      </c>
      <c r="D6" s="111">
        <v>64.5</v>
      </c>
      <c r="E6" s="44">
        <v>0</v>
      </c>
      <c r="F6" s="111">
        <v>73.5</v>
      </c>
      <c r="G6" s="44">
        <v>3</v>
      </c>
      <c r="H6" s="111">
        <v>70.5</v>
      </c>
      <c r="I6" s="44">
        <v>1</v>
      </c>
      <c r="J6" s="111">
        <v>66</v>
      </c>
      <c r="K6" s="44">
        <v>0</v>
      </c>
      <c r="L6" s="111">
        <v>64</v>
      </c>
      <c r="M6" s="44">
        <v>0</v>
      </c>
      <c r="N6" s="111">
        <v>72.5</v>
      </c>
      <c r="O6" s="44">
        <v>3</v>
      </c>
      <c r="P6" s="111">
        <v>67</v>
      </c>
      <c r="Q6" s="44">
        <v>1</v>
      </c>
      <c r="R6" s="111">
        <v>70.5</v>
      </c>
      <c r="S6" s="44">
        <v>0</v>
      </c>
      <c r="T6" s="111">
        <v>77.5</v>
      </c>
      <c r="U6" s="44">
        <v>3</v>
      </c>
    </row>
    <row r="7" spans="1:21" x14ac:dyDescent="0.2">
      <c r="A7" s="56">
        <v>5</v>
      </c>
      <c r="B7" s="78">
        <v>65.5</v>
      </c>
      <c r="C7" s="74">
        <v>0</v>
      </c>
      <c r="D7" s="158">
        <v>69.5</v>
      </c>
      <c r="E7" s="74">
        <v>0</v>
      </c>
      <c r="F7" s="139">
        <v>71</v>
      </c>
      <c r="G7" s="74">
        <v>3</v>
      </c>
      <c r="H7" s="112">
        <v>76</v>
      </c>
      <c r="I7" s="74">
        <v>3</v>
      </c>
      <c r="J7" s="160">
        <v>82</v>
      </c>
      <c r="K7" s="74">
        <v>0</v>
      </c>
      <c r="L7" s="164">
        <v>78.5</v>
      </c>
      <c r="M7" s="74">
        <v>3</v>
      </c>
      <c r="N7" s="140">
        <v>85</v>
      </c>
      <c r="O7" s="74">
        <v>3</v>
      </c>
      <c r="P7" s="146">
        <v>62.5</v>
      </c>
      <c r="Q7" s="74">
        <v>0</v>
      </c>
      <c r="R7" s="112">
        <v>73.5</v>
      </c>
      <c r="S7" s="74">
        <v>3</v>
      </c>
      <c r="T7" s="112">
        <v>65</v>
      </c>
      <c r="U7" s="74">
        <v>0</v>
      </c>
    </row>
    <row r="8" spans="1:21" x14ac:dyDescent="0.2">
      <c r="A8" s="56">
        <v>6</v>
      </c>
      <c r="B8" s="47">
        <v>78.5</v>
      </c>
      <c r="C8" s="44">
        <v>3</v>
      </c>
      <c r="D8" s="111">
        <v>75</v>
      </c>
      <c r="E8" s="44">
        <v>3</v>
      </c>
      <c r="F8" s="111">
        <v>72.5</v>
      </c>
      <c r="G8" s="44">
        <v>0</v>
      </c>
      <c r="H8" s="111">
        <v>67</v>
      </c>
      <c r="I8" s="44">
        <v>1</v>
      </c>
      <c r="J8" s="111">
        <v>67.5</v>
      </c>
      <c r="K8" s="44">
        <v>3</v>
      </c>
      <c r="L8" s="111">
        <v>69.5</v>
      </c>
      <c r="M8" s="44">
        <v>0</v>
      </c>
      <c r="N8" s="111">
        <v>88.5</v>
      </c>
      <c r="O8" s="44">
        <v>3</v>
      </c>
      <c r="P8" s="111">
        <v>68</v>
      </c>
      <c r="Q8" s="44">
        <v>0</v>
      </c>
      <c r="R8" s="111">
        <v>63</v>
      </c>
      <c r="S8" s="44">
        <v>0</v>
      </c>
      <c r="T8" s="111">
        <v>71.5</v>
      </c>
      <c r="U8" s="44">
        <v>1</v>
      </c>
    </row>
    <row r="9" spans="1:21" x14ac:dyDescent="0.2">
      <c r="A9" s="56">
        <v>7</v>
      </c>
      <c r="B9" s="215">
        <v>68</v>
      </c>
      <c r="C9" s="74">
        <v>3</v>
      </c>
      <c r="D9" s="112">
        <v>74.5</v>
      </c>
      <c r="E9" s="74">
        <v>3</v>
      </c>
      <c r="F9" s="112">
        <v>83</v>
      </c>
      <c r="G9" s="74">
        <v>3</v>
      </c>
      <c r="H9" s="112">
        <v>77</v>
      </c>
      <c r="I9" s="74">
        <v>1</v>
      </c>
      <c r="J9" s="112">
        <v>68.5</v>
      </c>
      <c r="K9" s="74">
        <v>0</v>
      </c>
      <c r="L9" s="112">
        <v>73</v>
      </c>
      <c r="M9" s="74">
        <v>1</v>
      </c>
      <c r="N9" s="151">
        <v>63.5</v>
      </c>
      <c r="O9" s="74">
        <v>0</v>
      </c>
      <c r="P9" s="151">
        <v>67</v>
      </c>
      <c r="Q9" s="74">
        <v>0</v>
      </c>
      <c r="R9" s="112">
        <v>79</v>
      </c>
      <c r="S9" s="74">
        <v>3</v>
      </c>
      <c r="T9" s="112">
        <v>68</v>
      </c>
      <c r="U9" s="74">
        <v>0</v>
      </c>
    </row>
    <row r="10" spans="1:21" x14ac:dyDescent="0.2">
      <c r="A10" s="56">
        <v>8</v>
      </c>
      <c r="B10" s="47">
        <v>60</v>
      </c>
      <c r="C10" s="44">
        <v>0</v>
      </c>
      <c r="D10" s="111">
        <v>71</v>
      </c>
      <c r="E10" s="44">
        <v>0</v>
      </c>
      <c r="F10" s="111">
        <v>72.5</v>
      </c>
      <c r="G10" s="44">
        <v>1</v>
      </c>
      <c r="H10" s="111">
        <v>76.5</v>
      </c>
      <c r="I10" s="44">
        <v>3</v>
      </c>
      <c r="J10" s="111">
        <v>79</v>
      </c>
      <c r="K10" s="44">
        <v>3</v>
      </c>
      <c r="L10" s="111">
        <v>75.5</v>
      </c>
      <c r="M10" s="44">
        <v>1</v>
      </c>
      <c r="N10" s="111">
        <v>63</v>
      </c>
      <c r="O10" s="44">
        <v>0</v>
      </c>
      <c r="P10" s="111">
        <v>67.5</v>
      </c>
      <c r="Q10" s="44">
        <v>0</v>
      </c>
      <c r="R10" s="111">
        <v>66</v>
      </c>
      <c r="S10" s="44">
        <v>3</v>
      </c>
      <c r="T10" s="111">
        <v>75.5</v>
      </c>
      <c r="U10" s="44">
        <v>3</v>
      </c>
    </row>
    <row r="11" spans="1:21" x14ac:dyDescent="0.2">
      <c r="A11" s="56">
        <v>9</v>
      </c>
      <c r="B11" s="78">
        <v>71.5</v>
      </c>
      <c r="C11" s="74">
        <v>0</v>
      </c>
      <c r="D11" s="159">
        <v>82</v>
      </c>
      <c r="E11" s="74">
        <v>3</v>
      </c>
      <c r="F11" s="148">
        <v>66</v>
      </c>
      <c r="G11" s="74">
        <v>1</v>
      </c>
      <c r="H11" s="112">
        <v>67</v>
      </c>
      <c r="I11" s="74">
        <v>1</v>
      </c>
      <c r="J11" s="112">
        <v>76</v>
      </c>
      <c r="K11" s="74">
        <v>3</v>
      </c>
      <c r="L11" s="216">
        <v>71.5</v>
      </c>
      <c r="M11" s="74">
        <v>3</v>
      </c>
      <c r="N11" s="112">
        <v>62.5</v>
      </c>
      <c r="O11" s="74">
        <v>0</v>
      </c>
      <c r="P11" s="112">
        <v>75</v>
      </c>
      <c r="Q11" s="74">
        <v>0</v>
      </c>
      <c r="R11" s="144">
        <v>84.5</v>
      </c>
      <c r="S11" s="74">
        <v>1</v>
      </c>
      <c r="T11" s="144">
        <v>85.5</v>
      </c>
      <c r="U11" s="74">
        <v>1</v>
      </c>
    </row>
    <row r="12" spans="1:21" x14ac:dyDescent="0.2">
      <c r="A12" s="56">
        <v>10</v>
      </c>
      <c r="B12" s="47">
        <v>81</v>
      </c>
      <c r="C12" s="44">
        <v>3</v>
      </c>
      <c r="D12" s="111">
        <v>82</v>
      </c>
      <c r="E12" s="44">
        <v>0</v>
      </c>
      <c r="F12" s="111">
        <v>87</v>
      </c>
      <c r="G12" s="44">
        <v>3</v>
      </c>
      <c r="H12" s="111">
        <v>65</v>
      </c>
      <c r="I12" s="44">
        <v>0</v>
      </c>
      <c r="J12" s="111">
        <v>65.5</v>
      </c>
      <c r="K12" s="44">
        <v>0</v>
      </c>
      <c r="L12" s="111">
        <v>65</v>
      </c>
      <c r="M12" s="44">
        <v>0</v>
      </c>
      <c r="N12" s="111">
        <v>74.5</v>
      </c>
      <c r="O12" s="44">
        <v>3</v>
      </c>
      <c r="P12" s="111">
        <v>74</v>
      </c>
      <c r="Q12" s="44">
        <v>0</v>
      </c>
      <c r="R12" s="111">
        <v>75.5</v>
      </c>
      <c r="S12" s="44">
        <v>3</v>
      </c>
      <c r="T12" s="111">
        <v>75</v>
      </c>
      <c r="U12" s="44">
        <v>3</v>
      </c>
    </row>
    <row r="13" spans="1:21" x14ac:dyDescent="0.2">
      <c r="A13" s="56">
        <v>11</v>
      </c>
      <c r="B13" s="78">
        <v>59</v>
      </c>
      <c r="C13" s="74">
        <v>0</v>
      </c>
      <c r="D13" s="112">
        <v>78.5</v>
      </c>
      <c r="E13" s="74">
        <v>3</v>
      </c>
      <c r="F13" s="112">
        <v>69</v>
      </c>
      <c r="G13" s="74">
        <v>0</v>
      </c>
      <c r="H13" s="112">
        <v>75</v>
      </c>
      <c r="I13" s="74">
        <v>0</v>
      </c>
      <c r="J13" s="112">
        <v>74.5</v>
      </c>
      <c r="K13" s="74">
        <v>3</v>
      </c>
      <c r="L13" s="112">
        <v>70</v>
      </c>
      <c r="M13" s="74">
        <v>0</v>
      </c>
      <c r="N13" s="140">
        <v>74</v>
      </c>
      <c r="O13" s="74">
        <v>3</v>
      </c>
      <c r="P13" s="112">
        <v>72</v>
      </c>
      <c r="Q13" s="74">
        <v>3</v>
      </c>
      <c r="R13" s="112">
        <v>80.5</v>
      </c>
      <c r="S13" s="74">
        <v>3</v>
      </c>
      <c r="T13" s="245">
        <v>67.5</v>
      </c>
      <c r="U13" s="74">
        <v>0</v>
      </c>
    </row>
    <row r="14" spans="1:21" x14ac:dyDescent="0.2">
      <c r="A14" s="56">
        <v>12</v>
      </c>
      <c r="B14" s="47">
        <v>67.5</v>
      </c>
      <c r="C14" s="44">
        <v>3</v>
      </c>
      <c r="D14" s="111">
        <v>72</v>
      </c>
      <c r="E14" s="44">
        <v>1</v>
      </c>
      <c r="F14" s="111">
        <v>74</v>
      </c>
      <c r="G14" s="44">
        <v>3</v>
      </c>
      <c r="H14" s="111">
        <v>60</v>
      </c>
      <c r="I14" s="44">
        <v>0</v>
      </c>
      <c r="J14" s="111">
        <v>78.5</v>
      </c>
      <c r="K14" s="44">
        <v>3</v>
      </c>
      <c r="L14" s="111">
        <v>68</v>
      </c>
      <c r="M14" s="44">
        <v>0</v>
      </c>
      <c r="N14" s="111">
        <v>72</v>
      </c>
      <c r="O14" s="44">
        <v>1</v>
      </c>
      <c r="P14" s="111">
        <v>77</v>
      </c>
      <c r="Q14" s="44">
        <v>3</v>
      </c>
      <c r="R14" s="111">
        <v>68</v>
      </c>
      <c r="S14" s="44">
        <v>0</v>
      </c>
      <c r="T14" s="113">
        <v>65</v>
      </c>
      <c r="U14" s="44">
        <v>0</v>
      </c>
    </row>
    <row r="15" spans="1:21" x14ac:dyDescent="0.2">
      <c r="A15" s="56">
        <v>13</v>
      </c>
      <c r="B15" s="78">
        <v>81</v>
      </c>
      <c r="C15" s="74">
        <v>1</v>
      </c>
      <c r="D15" s="112">
        <v>65</v>
      </c>
      <c r="E15" s="74">
        <v>0</v>
      </c>
      <c r="F15" s="112">
        <v>67</v>
      </c>
      <c r="G15" s="74">
        <v>1</v>
      </c>
      <c r="H15" s="144">
        <v>75</v>
      </c>
      <c r="I15" s="74">
        <v>3</v>
      </c>
      <c r="J15" s="245">
        <v>67.5</v>
      </c>
      <c r="K15" s="74">
        <v>1</v>
      </c>
      <c r="L15" s="112">
        <v>82.5</v>
      </c>
      <c r="M15" s="74">
        <v>1</v>
      </c>
      <c r="N15" s="141">
        <v>69</v>
      </c>
      <c r="O15" s="74">
        <v>1</v>
      </c>
      <c r="P15" s="112">
        <v>65</v>
      </c>
      <c r="Q15" s="74">
        <v>0</v>
      </c>
      <c r="R15" s="164">
        <v>69</v>
      </c>
      <c r="S15" s="74">
        <v>1</v>
      </c>
      <c r="T15" s="112">
        <v>72.5</v>
      </c>
      <c r="U15" s="74">
        <v>3</v>
      </c>
    </row>
    <row r="16" spans="1:21" x14ac:dyDescent="0.2">
      <c r="A16" s="56">
        <v>14</v>
      </c>
      <c r="B16" s="47">
        <v>74</v>
      </c>
      <c r="C16" s="44">
        <v>3</v>
      </c>
      <c r="D16" s="111">
        <v>78.5</v>
      </c>
      <c r="E16" s="44">
        <v>3</v>
      </c>
      <c r="F16" s="111">
        <v>79</v>
      </c>
      <c r="G16" s="44">
        <v>3</v>
      </c>
      <c r="H16" s="111">
        <v>66</v>
      </c>
      <c r="I16" s="44">
        <v>0</v>
      </c>
      <c r="J16" s="111">
        <v>80</v>
      </c>
      <c r="K16" s="44">
        <v>0</v>
      </c>
      <c r="L16" s="111">
        <v>72</v>
      </c>
      <c r="M16" s="44">
        <v>0</v>
      </c>
      <c r="N16" s="111">
        <v>86</v>
      </c>
      <c r="O16" s="44">
        <v>3</v>
      </c>
      <c r="P16" s="111">
        <v>65.5</v>
      </c>
      <c r="Q16" s="44">
        <v>0</v>
      </c>
      <c r="R16" s="113">
        <v>75</v>
      </c>
      <c r="S16" s="44">
        <v>0</v>
      </c>
      <c r="T16" s="111">
        <v>84</v>
      </c>
      <c r="U16" s="44">
        <v>3</v>
      </c>
    </row>
    <row r="17" spans="1:21" x14ac:dyDescent="0.2">
      <c r="A17" s="56">
        <v>15</v>
      </c>
      <c r="B17" s="78">
        <v>73.5</v>
      </c>
      <c r="C17" s="74">
        <v>1</v>
      </c>
      <c r="D17" s="112">
        <v>81</v>
      </c>
      <c r="E17" s="74">
        <v>3</v>
      </c>
      <c r="F17" s="148">
        <v>74</v>
      </c>
      <c r="G17" s="74">
        <v>1</v>
      </c>
      <c r="H17" s="112">
        <v>71</v>
      </c>
      <c r="I17" s="74">
        <v>1</v>
      </c>
      <c r="J17" s="142">
        <v>68</v>
      </c>
      <c r="K17" s="74">
        <v>0</v>
      </c>
      <c r="L17" s="144">
        <v>72</v>
      </c>
      <c r="M17" s="74">
        <v>0</v>
      </c>
      <c r="N17" s="112">
        <v>65.5</v>
      </c>
      <c r="O17" s="74">
        <v>0</v>
      </c>
      <c r="P17" s="112">
        <v>69.5</v>
      </c>
      <c r="Q17" s="74">
        <v>3</v>
      </c>
      <c r="R17" s="112">
        <v>90.5</v>
      </c>
      <c r="S17" s="74">
        <v>3</v>
      </c>
      <c r="T17" s="164">
        <v>66</v>
      </c>
      <c r="U17" s="74">
        <v>1</v>
      </c>
    </row>
    <row r="18" spans="1:21" x14ac:dyDescent="0.2">
      <c r="A18" s="56">
        <v>16</v>
      </c>
      <c r="B18" s="47">
        <v>77.5</v>
      </c>
      <c r="C18" s="44">
        <v>1</v>
      </c>
      <c r="D18" s="111">
        <v>71</v>
      </c>
      <c r="E18" s="44">
        <v>0</v>
      </c>
      <c r="F18" s="111">
        <v>71</v>
      </c>
      <c r="G18" s="44">
        <v>0</v>
      </c>
      <c r="H18" s="111">
        <v>80</v>
      </c>
      <c r="I18" s="44">
        <v>3</v>
      </c>
      <c r="J18" s="111">
        <v>81.5</v>
      </c>
      <c r="K18" s="44">
        <v>3</v>
      </c>
      <c r="L18" s="111">
        <v>68.5</v>
      </c>
      <c r="M18" s="44">
        <v>0</v>
      </c>
      <c r="N18" s="111">
        <v>77.5</v>
      </c>
      <c r="O18" s="44">
        <v>1</v>
      </c>
      <c r="P18" s="111">
        <v>77.5</v>
      </c>
      <c r="Q18" s="44">
        <v>1</v>
      </c>
      <c r="R18" s="111">
        <v>72.5</v>
      </c>
      <c r="S18" s="44">
        <v>1</v>
      </c>
      <c r="T18" s="111">
        <v>77.5</v>
      </c>
      <c r="U18" s="44">
        <v>3</v>
      </c>
    </row>
    <row r="19" spans="1:21" x14ac:dyDescent="0.2">
      <c r="A19" s="56">
        <v>17</v>
      </c>
      <c r="B19" s="78">
        <v>81.5</v>
      </c>
      <c r="C19" s="74">
        <v>3</v>
      </c>
      <c r="D19" s="112">
        <v>86.5</v>
      </c>
      <c r="E19" s="74">
        <v>3</v>
      </c>
      <c r="F19" s="112">
        <v>68.5</v>
      </c>
      <c r="G19" s="74">
        <v>0</v>
      </c>
      <c r="H19" s="112">
        <v>69.5</v>
      </c>
      <c r="I19" s="74">
        <v>0</v>
      </c>
      <c r="J19" s="112">
        <v>80.5</v>
      </c>
      <c r="K19" s="74">
        <v>3</v>
      </c>
      <c r="L19" s="112">
        <v>78.5</v>
      </c>
      <c r="M19" s="74">
        <v>3</v>
      </c>
      <c r="N19" s="112">
        <v>81.5</v>
      </c>
      <c r="O19" s="74">
        <v>3</v>
      </c>
      <c r="P19" s="257">
        <v>74.5</v>
      </c>
      <c r="Q19" s="74">
        <v>0</v>
      </c>
      <c r="R19" s="152">
        <v>74.5</v>
      </c>
      <c r="S19" s="74">
        <v>0</v>
      </c>
      <c r="T19" s="112">
        <v>69</v>
      </c>
      <c r="U19" s="74">
        <v>0</v>
      </c>
    </row>
    <row r="20" spans="1:21" x14ac:dyDescent="0.2">
      <c r="A20" s="56">
        <v>18</v>
      </c>
      <c r="B20" s="47">
        <v>71</v>
      </c>
      <c r="C20" s="44">
        <v>1</v>
      </c>
      <c r="D20" s="111">
        <v>72.5</v>
      </c>
      <c r="E20" s="44">
        <v>3</v>
      </c>
      <c r="F20" s="111">
        <v>68</v>
      </c>
      <c r="G20" s="44">
        <v>1</v>
      </c>
      <c r="H20" s="111">
        <v>71.5</v>
      </c>
      <c r="I20" s="44">
        <v>1</v>
      </c>
      <c r="J20" s="111">
        <v>67</v>
      </c>
      <c r="K20" s="44">
        <v>1</v>
      </c>
      <c r="L20" s="111">
        <v>70.5</v>
      </c>
      <c r="M20" s="44">
        <v>0</v>
      </c>
      <c r="N20" s="111">
        <v>72.5</v>
      </c>
      <c r="O20" s="44">
        <v>3</v>
      </c>
      <c r="P20" s="111">
        <v>67.5</v>
      </c>
      <c r="Q20" s="44">
        <v>0</v>
      </c>
      <c r="R20" s="111">
        <v>76.5</v>
      </c>
      <c r="S20" s="44">
        <v>0</v>
      </c>
      <c r="T20" s="111">
        <v>81.5</v>
      </c>
      <c r="U20" s="44">
        <v>3</v>
      </c>
    </row>
    <row r="21" spans="1:21" x14ac:dyDescent="0.2">
      <c r="A21" s="56">
        <v>19</v>
      </c>
      <c r="B21" s="258">
        <v>78.5</v>
      </c>
      <c r="C21" s="74">
        <v>3</v>
      </c>
      <c r="D21" s="112">
        <v>65</v>
      </c>
      <c r="E21" s="74">
        <v>0</v>
      </c>
      <c r="F21" s="144">
        <v>83</v>
      </c>
      <c r="G21" s="74">
        <v>3</v>
      </c>
      <c r="H21" s="151">
        <v>81</v>
      </c>
      <c r="I21" s="74">
        <v>0</v>
      </c>
      <c r="J21" s="112">
        <v>75</v>
      </c>
      <c r="K21" s="74">
        <v>0</v>
      </c>
      <c r="L21" s="149">
        <v>76</v>
      </c>
      <c r="M21" s="74">
        <v>3</v>
      </c>
      <c r="N21" s="245">
        <v>88</v>
      </c>
      <c r="O21" s="74">
        <v>3</v>
      </c>
      <c r="P21" s="112">
        <v>73</v>
      </c>
      <c r="Q21" s="74">
        <v>0</v>
      </c>
      <c r="R21" s="245">
        <v>66</v>
      </c>
      <c r="S21" s="74">
        <v>0</v>
      </c>
      <c r="T21" s="112">
        <v>90.5</v>
      </c>
      <c r="U21" s="74">
        <v>3</v>
      </c>
    </row>
    <row r="22" spans="1:21" x14ac:dyDescent="0.2">
      <c r="A22" s="56">
        <v>20</v>
      </c>
      <c r="B22" s="47">
        <v>73.5</v>
      </c>
      <c r="C22" s="44">
        <v>1</v>
      </c>
      <c r="D22" s="111">
        <v>77</v>
      </c>
      <c r="E22" s="44">
        <v>1</v>
      </c>
      <c r="F22" s="111">
        <v>79</v>
      </c>
      <c r="G22" s="44">
        <v>3</v>
      </c>
      <c r="H22" s="111">
        <v>70</v>
      </c>
      <c r="I22" s="44">
        <v>0</v>
      </c>
      <c r="J22" s="111">
        <v>74.5</v>
      </c>
      <c r="K22" s="44">
        <v>0</v>
      </c>
      <c r="L22" s="111">
        <v>91.5</v>
      </c>
      <c r="M22" s="44">
        <v>3</v>
      </c>
      <c r="N22" s="111">
        <v>73</v>
      </c>
      <c r="O22" s="44">
        <v>0</v>
      </c>
      <c r="P22" s="111">
        <v>94</v>
      </c>
      <c r="Q22" s="44">
        <v>3</v>
      </c>
      <c r="R22" s="111">
        <v>75.5</v>
      </c>
      <c r="S22" s="44">
        <v>3</v>
      </c>
      <c r="T22" s="111">
        <v>69.5</v>
      </c>
      <c r="U22" s="44">
        <v>0</v>
      </c>
    </row>
    <row r="23" spans="1:21" x14ac:dyDescent="0.2">
      <c r="A23" s="56">
        <v>21</v>
      </c>
      <c r="B23" s="78">
        <v>62</v>
      </c>
      <c r="C23" s="74">
        <v>0</v>
      </c>
      <c r="D23" s="112">
        <v>75.5</v>
      </c>
      <c r="E23" s="74">
        <v>0</v>
      </c>
      <c r="F23" s="112">
        <v>83</v>
      </c>
      <c r="G23" s="74">
        <v>3</v>
      </c>
      <c r="H23" s="112">
        <v>73</v>
      </c>
      <c r="I23" s="74">
        <v>0</v>
      </c>
      <c r="J23" s="112">
        <v>86.5</v>
      </c>
      <c r="K23" s="74">
        <v>3</v>
      </c>
      <c r="L23" s="112">
        <v>76.5</v>
      </c>
      <c r="M23" s="74">
        <v>0</v>
      </c>
      <c r="N23" s="257">
        <v>78.5</v>
      </c>
      <c r="O23" s="74">
        <v>3</v>
      </c>
      <c r="P23" s="245">
        <v>82</v>
      </c>
      <c r="Q23" s="74">
        <v>3</v>
      </c>
      <c r="R23" s="112">
        <v>66.5</v>
      </c>
      <c r="S23" s="74">
        <v>0</v>
      </c>
      <c r="T23" s="112">
        <v>79</v>
      </c>
      <c r="U23" s="74">
        <v>3</v>
      </c>
    </row>
    <row r="24" spans="1:21" x14ac:dyDescent="0.2">
      <c r="A24" s="56">
        <v>22</v>
      </c>
      <c r="B24" s="47">
        <v>83</v>
      </c>
      <c r="C24" s="44">
        <v>3</v>
      </c>
      <c r="D24" s="111">
        <v>62.5</v>
      </c>
      <c r="E24" s="44">
        <v>0</v>
      </c>
      <c r="F24" s="111">
        <v>72</v>
      </c>
      <c r="G24" s="44">
        <v>0</v>
      </c>
      <c r="H24" s="111">
        <v>72.5</v>
      </c>
      <c r="I24" s="44">
        <v>0</v>
      </c>
      <c r="J24" s="111">
        <v>89</v>
      </c>
      <c r="K24" s="44">
        <v>3</v>
      </c>
      <c r="L24" s="111">
        <v>62.5</v>
      </c>
      <c r="M24" s="44">
        <v>0</v>
      </c>
      <c r="N24" s="111">
        <v>61.5</v>
      </c>
      <c r="O24" s="44">
        <v>0</v>
      </c>
      <c r="P24" s="111">
        <v>80</v>
      </c>
      <c r="Q24" s="44">
        <v>3</v>
      </c>
      <c r="R24" s="111">
        <v>71</v>
      </c>
      <c r="S24" s="44">
        <v>3</v>
      </c>
      <c r="T24" s="111">
        <v>72</v>
      </c>
      <c r="U24" s="44">
        <v>3</v>
      </c>
    </row>
    <row r="25" spans="1:21" x14ac:dyDescent="0.2">
      <c r="A25" s="56">
        <v>23</v>
      </c>
      <c r="B25" s="78">
        <v>71</v>
      </c>
      <c r="C25" s="74">
        <v>0</v>
      </c>
      <c r="D25" s="112">
        <v>66.5</v>
      </c>
      <c r="E25" s="74">
        <v>1</v>
      </c>
      <c r="F25" s="112">
        <v>76</v>
      </c>
      <c r="G25" s="74">
        <v>0</v>
      </c>
      <c r="H25" s="112">
        <v>75.5</v>
      </c>
      <c r="I25" s="74">
        <v>3</v>
      </c>
      <c r="J25" s="112">
        <v>76.5</v>
      </c>
      <c r="K25" s="74">
        <v>3</v>
      </c>
      <c r="L25" s="112">
        <v>70.5</v>
      </c>
      <c r="M25" s="74">
        <v>0</v>
      </c>
      <c r="N25" s="112">
        <v>68.5</v>
      </c>
      <c r="O25" s="74">
        <v>0</v>
      </c>
      <c r="P25" s="112">
        <v>88.5</v>
      </c>
      <c r="Q25" s="74">
        <v>3</v>
      </c>
      <c r="R25" s="112">
        <v>68</v>
      </c>
      <c r="S25" s="74">
        <v>1</v>
      </c>
      <c r="T25" s="112">
        <v>76.5</v>
      </c>
      <c r="U25" s="74">
        <v>3</v>
      </c>
    </row>
    <row r="26" spans="1:21" x14ac:dyDescent="0.2">
      <c r="A26" s="56">
        <v>24</v>
      </c>
      <c r="B26" s="47">
        <v>69.5</v>
      </c>
      <c r="C26" s="44">
        <v>3</v>
      </c>
      <c r="D26" s="111">
        <v>80</v>
      </c>
      <c r="E26" s="44">
        <v>3</v>
      </c>
      <c r="F26" s="111">
        <v>64</v>
      </c>
      <c r="G26" s="44">
        <v>0</v>
      </c>
      <c r="H26" s="111">
        <v>74</v>
      </c>
      <c r="I26" s="44">
        <v>1</v>
      </c>
      <c r="J26" s="111">
        <v>87</v>
      </c>
      <c r="K26" s="44">
        <v>3</v>
      </c>
      <c r="L26" s="111">
        <v>76</v>
      </c>
      <c r="M26" s="44">
        <v>0</v>
      </c>
      <c r="N26" s="111">
        <v>76.5</v>
      </c>
      <c r="O26" s="44">
        <v>3</v>
      </c>
      <c r="P26" s="111">
        <v>70.5</v>
      </c>
      <c r="Q26" s="44">
        <v>0</v>
      </c>
      <c r="R26" s="111">
        <v>69.5</v>
      </c>
      <c r="S26" s="44">
        <v>0</v>
      </c>
      <c r="T26" s="111">
        <v>73.5</v>
      </c>
      <c r="U26" s="44">
        <v>1</v>
      </c>
    </row>
    <row r="27" spans="1:21" x14ac:dyDescent="0.2">
      <c r="A27" s="56">
        <v>25</v>
      </c>
      <c r="B27" s="78">
        <v>78</v>
      </c>
      <c r="C27" s="74">
        <v>3</v>
      </c>
      <c r="D27" s="112">
        <v>79.5</v>
      </c>
      <c r="E27" s="74">
        <v>3</v>
      </c>
      <c r="F27" s="112">
        <v>83</v>
      </c>
      <c r="G27" s="74">
        <v>3</v>
      </c>
      <c r="H27" s="112">
        <v>64.5</v>
      </c>
      <c r="I27" s="74">
        <v>0</v>
      </c>
      <c r="J27" s="150">
        <v>72</v>
      </c>
      <c r="K27" s="74">
        <v>0</v>
      </c>
      <c r="L27" s="151">
        <v>72.5</v>
      </c>
      <c r="M27" s="74">
        <v>3</v>
      </c>
      <c r="N27" s="112">
        <v>77</v>
      </c>
      <c r="O27" s="74">
        <v>0</v>
      </c>
      <c r="P27" s="112">
        <v>84</v>
      </c>
      <c r="Q27" s="74">
        <v>3</v>
      </c>
      <c r="R27" s="112">
        <v>80.5</v>
      </c>
      <c r="S27" s="74">
        <v>0</v>
      </c>
      <c r="T27" s="151">
        <v>67</v>
      </c>
      <c r="U27" s="74">
        <v>0</v>
      </c>
    </row>
    <row r="28" spans="1:21" x14ac:dyDescent="0.2">
      <c r="A28" s="56">
        <v>26</v>
      </c>
      <c r="B28" s="47">
        <v>72</v>
      </c>
      <c r="C28" s="44">
        <v>0</v>
      </c>
      <c r="D28" s="111">
        <v>60.5</v>
      </c>
      <c r="E28" s="44">
        <v>0</v>
      </c>
      <c r="F28" s="111">
        <v>69</v>
      </c>
      <c r="G28" s="44">
        <v>0</v>
      </c>
      <c r="H28" s="111">
        <v>88</v>
      </c>
      <c r="I28" s="44">
        <v>3</v>
      </c>
      <c r="J28" s="111">
        <v>74.5</v>
      </c>
      <c r="K28" s="44">
        <v>3</v>
      </c>
      <c r="L28" s="111">
        <v>74</v>
      </c>
      <c r="M28" s="44">
        <v>3</v>
      </c>
      <c r="N28" s="111">
        <v>73</v>
      </c>
      <c r="O28" s="44">
        <v>1</v>
      </c>
      <c r="P28" s="111">
        <v>67</v>
      </c>
      <c r="Q28" s="44">
        <v>0</v>
      </c>
      <c r="R28" s="111">
        <v>79.5</v>
      </c>
      <c r="S28" s="44">
        <v>3</v>
      </c>
      <c r="T28" s="111">
        <v>74.5</v>
      </c>
      <c r="U28" s="44">
        <v>1</v>
      </c>
    </row>
    <row r="29" spans="1:21" x14ac:dyDescent="0.2">
      <c r="A29" s="56">
        <v>27</v>
      </c>
      <c r="B29" s="78">
        <v>70</v>
      </c>
      <c r="C29" s="74">
        <v>1</v>
      </c>
      <c r="D29" s="112">
        <v>82</v>
      </c>
      <c r="E29" s="74">
        <v>3</v>
      </c>
      <c r="F29" s="112">
        <v>74.5</v>
      </c>
      <c r="G29" s="74">
        <v>3</v>
      </c>
      <c r="H29" s="112">
        <v>61.5</v>
      </c>
      <c r="I29" s="74">
        <v>0</v>
      </c>
      <c r="J29" s="112">
        <v>67.5</v>
      </c>
      <c r="K29" s="74">
        <v>1</v>
      </c>
      <c r="L29" s="112">
        <v>80</v>
      </c>
      <c r="M29" s="74">
        <v>1</v>
      </c>
      <c r="N29" s="112">
        <v>83.5</v>
      </c>
      <c r="O29" s="74">
        <v>1</v>
      </c>
      <c r="P29" s="112">
        <v>71</v>
      </c>
      <c r="Q29" s="74">
        <v>0</v>
      </c>
      <c r="R29" s="112">
        <v>67.5</v>
      </c>
      <c r="S29" s="74">
        <v>0</v>
      </c>
      <c r="T29" s="112">
        <v>76</v>
      </c>
      <c r="U29" s="74">
        <v>3</v>
      </c>
    </row>
    <row r="30" spans="1:21" x14ac:dyDescent="0.2">
      <c r="A30" s="56">
        <v>28</v>
      </c>
      <c r="B30" s="47">
        <v>71.5</v>
      </c>
      <c r="C30" s="44">
        <v>0</v>
      </c>
      <c r="D30" s="111">
        <v>86.5</v>
      </c>
      <c r="E30" s="44">
        <v>3</v>
      </c>
      <c r="F30" s="111">
        <v>68</v>
      </c>
      <c r="G30" s="44">
        <v>0</v>
      </c>
      <c r="H30" s="111">
        <v>71</v>
      </c>
      <c r="I30" s="44">
        <v>0</v>
      </c>
      <c r="J30" s="111">
        <v>80.5</v>
      </c>
      <c r="K30" s="44">
        <v>3</v>
      </c>
      <c r="L30" s="111">
        <v>69</v>
      </c>
      <c r="M30" s="44">
        <v>0</v>
      </c>
      <c r="N30" s="111">
        <v>79.5</v>
      </c>
      <c r="O30" s="44">
        <v>3</v>
      </c>
      <c r="P30" s="111">
        <v>81</v>
      </c>
      <c r="Q30" s="44">
        <v>3</v>
      </c>
      <c r="R30" s="111">
        <v>77</v>
      </c>
      <c r="S30" s="44">
        <v>3</v>
      </c>
      <c r="T30" s="111">
        <v>70</v>
      </c>
      <c r="U30" s="44">
        <v>0</v>
      </c>
    </row>
    <row r="31" spans="1:21" x14ac:dyDescent="0.2">
      <c r="A31" s="56">
        <v>29</v>
      </c>
      <c r="B31" s="78">
        <v>73</v>
      </c>
      <c r="C31" s="74">
        <v>0</v>
      </c>
      <c r="D31" s="112">
        <v>81.5</v>
      </c>
      <c r="E31" s="74">
        <v>3</v>
      </c>
      <c r="F31" s="112">
        <v>76.5</v>
      </c>
      <c r="G31" s="74">
        <v>1</v>
      </c>
      <c r="H31" s="112">
        <v>78.5</v>
      </c>
      <c r="I31" s="74">
        <v>3</v>
      </c>
      <c r="J31" s="112">
        <v>88.5</v>
      </c>
      <c r="K31" s="74">
        <v>3</v>
      </c>
      <c r="L31" s="112">
        <v>68</v>
      </c>
      <c r="M31" s="74">
        <v>0</v>
      </c>
      <c r="N31" s="144">
        <v>74.5</v>
      </c>
      <c r="O31" s="74">
        <v>1</v>
      </c>
      <c r="P31" s="112">
        <v>75.5</v>
      </c>
      <c r="Q31" s="74">
        <v>0</v>
      </c>
      <c r="R31" s="112">
        <v>61</v>
      </c>
      <c r="S31" s="74">
        <v>0</v>
      </c>
      <c r="T31" s="112">
        <v>87</v>
      </c>
      <c r="U31" s="74">
        <v>3</v>
      </c>
    </row>
    <row r="32" spans="1:21" x14ac:dyDescent="0.2">
      <c r="A32" s="56">
        <v>30</v>
      </c>
      <c r="B32" s="47">
        <v>67.5</v>
      </c>
      <c r="C32" s="44">
        <v>0</v>
      </c>
      <c r="D32" s="111">
        <v>74.5</v>
      </c>
      <c r="E32" s="44">
        <v>3</v>
      </c>
      <c r="F32" s="111">
        <v>74</v>
      </c>
      <c r="G32" s="44">
        <v>3</v>
      </c>
      <c r="H32" s="111">
        <v>79.5</v>
      </c>
      <c r="I32" s="44">
        <v>3</v>
      </c>
      <c r="J32" s="111">
        <v>72.5</v>
      </c>
      <c r="K32" s="44">
        <v>0</v>
      </c>
      <c r="L32" s="111">
        <v>75</v>
      </c>
      <c r="M32" s="44">
        <v>0</v>
      </c>
      <c r="N32" s="111">
        <v>66</v>
      </c>
      <c r="O32" s="44">
        <v>0</v>
      </c>
      <c r="P32" s="111">
        <v>88</v>
      </c>
      <c r="Q32" s="44">
        <v>3</v>
      </c>
      <c r="R32" s="111">
        <v>67.5</v>
      </c>
      <c r="S32" s="44">
        <v>0</v>
      </c>
      <c r="T32" s="111">
        <v>72.5</v>
      </c>
      <c r="U32" s="44">
        <v>3</v>
      </c>
    </row>
    <row r="33" spans="1:110" x14ac:dyDescent="0.2">
      <c r="A33" s="56">
        <v>31</v>
      </c>
      <c r="B33" s="78">
        <v>61.5</v>
      </c>
      <c r="C33" s="74">
        <v>0</v>
      </c>
      <c r="D33" s="112">
        <v>78</v>
      </c>
      <c r="E33" s="74">
        <v>3</v>
      </c>
      <c r="F33" s="257">
        <v>84</v>
      </c>
      <c r="G33" s="74">
        <v>1</v>
      </c>
      <c r="H33" s="112">
        <v>74</v>
      </c>
      <c r="I33" s="74">
        <v>0</v>
      </c>
      <c r="J33" s="112">
        <v>84</v>
      </c>
      <c r="K33" s="74">
        <v>1</v>
      </c>
      <c r="L33" s="257">
        <v>77</v>
      </c>
      <c r="M33" s="74">
        <v>3</v>
      </c>
      <c r="N33" s="112">
        <v>72</v>
      </c>
      <c r="O33" s="74">
        <v>3</v>
      </c>
      <c r="P33" s="112">
        <v>81</v>
      </c>
      <c r="Q33" s="74">
        <v>3</v>
      </c>
      <c r="R33" s="112">
        <v>69</v>
      </c>
      <c r="S33" s="74">
        <v>0</v>
      </c>
      <c r="T33" s="257">
        <v>67.5</v>
      </c>
      <c r="U33" s="74">
        <v>0</v>
      </c>
    </row>
    <row r="34" spans="1:110" x14ac:dyDescent="0.2">
      <c r="A34" s="56">
        <v>32</v>
      </c>
      <c r="B34" s="47">
        <v>70</v>
      </c>
      <c r="C34" s="44">
        <v>3</v>
      </c>
      <c r="D34" s="111">
        <v>73</v>
      </c>
      <c r="E34" s="44">
        <v>3</v>
      </c>
      <c r="F34" s="111">
        <v>76.5</v>
      </c>
      <c r="G34" s="44">
        <v>1</v>
      </c>
      <c r="H34" s="111">
        <v>65</v>
      </c>
      <c r="I34" s="44">
        <v>0</v>
      </c>
      <c r="J34" s="111">
        <v>83.5</v>
      </c>
      <c r="K34" s="44">
        <v>0</v>
      </c>
      <c r="L34" s="111">
        <v>65.5</v>
      </c>
      <c r="M34" s="44">
        <v>0</v>
      </c>
      <c r="N34" s="111">
        <v>85</v>
      </c>
      <c r="O34" s="44">
        <v>3</v>
      </c>
      <c r="P34" s="111">
        <v>73.5</v>
      </c>
      <c r="Q34" s="44">
        <v>1</v>
      </c>
      <c r="R34" s="111">
        <v>66</v>
      </c>
      <c r="S34" s="44">
        <v>0</v>
      </c>
      <c r="T34" s="111">
        <v>76</v>
      </c>
      <c r="U34" s="44">
        <v>3</v>
      </c>
    </row>
    <row r="35" spans="1:110" x14ac:dyDescent="0.2">
      <c r="A35" s="56">
        <v>33</v>
      </c>
      <c r="B35" s="78">
        <v>69</v>
      </c>
      <c r="C35" s="74">
        <v>0</v>
      </c>
      <c r="D35" s="112">
        <v>76</v>
      </c>
      <c r="E35" s="74">
        <v>3</v>
      </c>
      <c r="F35" s="112">
        <v>76.5</v>
      </c>
      <c r="G35" s="74">
        <v>3</v>
      </c>
      <c r="H35" s="112">
        <v>73.5</v>
      </c>
      <c r="I35" s="74">
        <v>1</v>
      </c>
      <c r="J35" s="112">
        <v>80</v>
      </c>
      <c r="K35" s="74">
        <v>3</v>
      </c>
      <c r="L35" s="112">
        <v>71</v>
      </c>
      <c r="M35" s="74">
        <v>0</v>
      </c>
      <c r="N35" s="112">
        <v>81</v>
      </c>
      <c r="O35" s="74">
        <v>1</v>
      </c>
      <c r="P35" s="112">
        <v>78.5</v>
      </c>
      <c r="Q35" s="74">
        <v>1</v>
      </c>
      <c r="R35" s="112">
        <v>61</v>
      </c>
      <c r="S35" s="74">
        <v>0</v>
      </c>
      <c r="T35" s="112">
        <v>74</v>
      </c>
      <c r="U35" s="74">
        <v>1</v>
      </c>
    </row>
    <row r="36" spans="1:110" x14ac:dyDescent="0.2">
      <c r="A36" s="56">
        <v>34</v>
      </c>
      <c r="B36" s="47">
        <v>68.5</v>
      </c>
      <c r="C36" s="44">
        <v>3</v>
      </c>
      <c r="D36" s="111">
        <v>83</v>
      </c>
      <c r="E36" s="44">
        <v>3</v>
      </c>
      <c r="F36" s="111">
        <v>78.5</v>
      </c>
      <c r="G36" s="44">
        <v>1</v>
      </c>
      <c r="H36" s="111">
        <v>57</v>
      </c>
      <c r="I36" s="44">
        <v>0</v>
      </c>
      <c r="J36" s="111">
        <v>68</v>
      </c>
      <c r="K36" s="44">
        <v>0</v>
      </c>
      <c r="L36" s="111">
        <v>73</v>
      </c>
      <c r="M36" s="44">
        <v>3</v>
      </c>
      <c r="N36" s="111">
        <v>61.5</v>
      </c>
      <c r="O36" s="44">
        <v>0</v>
      </c>
      <c r="P36" s="111">
        <v>65.5</v>
      </c>
      <c r="Q36" s="44">
        <v>0</v>
      </c>
      <c r="R36" s="111">
        <v>74</v>
      </c>
      <c r="S36" s="44">
        <v>3</v>
      </c>
      <c r="T36" s="111">
        <v>79</v>
      </c>
      <c r="U36" s="44">
        <v>1</v>
      </c>
    </row>
    <row r="37" spans="1:110" x14ac:dyDescent="0.2">
      <c r="A37" s="56">
        <v>35</v>
      </c>
      <c r="B37" s="78">
        <v>80</v>
      </c>
      <c r="C37" s="74">
        <v>3</v>
      </c>
      <c r="D37" s="112">
        <v>71</v>
      </c>
      <c r="E37" s="74">
        <v>3</v>
      </c>
      <c r="F37" s="112">
        <v>61.5</v>
      </c>
      <c r="G37" s="74">
        <v>1</v>
      </c>
      <c r="H37" s="112">
        <v>53.5</v>
      </c>
      <c r="I37" s="74">
        <v>0</v>
      </c>
      <c r="J37" s="112">
        <v>83.5</v>
      </c>
      <c r="K37" s="74">
        <v>1</v>
      </c>
      <c r="L37" s="112">
        <v>65.5</v>
      </c>
      <c r="M37" s="74">
        <v>1</v>
      </c>
      <c r="N37" s="112">
        <v>72.5</v>
      </c>
      <c r="O37" s="74">
        <v>1</v>
      </c>
      <c r="P37" s="112">
        <v>78</v>
      </c>
      <c r="Q37" s="74">
        <v>1</v>
      </c>
      <c r="R37" s="112">
        <v>76</v>
      </c>
      <c r="S37" s="74">
        <v>0</v>
      </c>
      <c r="T37" s="112">
        <v>74</v>
      </c>
      <c r="U37" s="74">
        <v>1</v>
      </c>
    </row>
    <row r="38" spans="1:110" x14ac:dyDescent="0.2">
      <c r="A38" s="64">
        <v>36</v>
      </c>
      <c r="B38" s="65"/>
      <c r="C38" s="66"/>
      <c r="D38" s="115"/>
      <c r="E38" s="66"/>
      <c r="F38" s="115"/>
      <c r="G38" s="66"/>
      <c r="H38" s="115"/>
      <c r="I38" s="66"/>
      <c r="J38" s="115"/>
      <c r="K38" s="66"/>
      <c r="L38" s="115"/>
      <c r="M38" s="66"/>
      <c r="N38" s="115"/>
      <c r="O38" s="66"/>
      <c r="P38" s="115"/>
      <c r="Q38" s="66"/>
      <c r="R38" s="115"/>
      <c r="S38" s="66"/>
      <c r="T38" s="115"/>
      <c r="U38" s="66"/>
    </row>
    <row r="39" spans="1:110" s="67" customFormat="1" ht="15" x14ac:dyDescent="0.25">
      <c r="A39" s="246" t="s">
        <v>270</v>
      </c>
      <c r="B39" s="125">
        <f>SUM(B3:B38)</f>
        <v>2523</v>
      </c>
      <c r="C39" s="126">
        <f t="shared" ref="C39:U39" si="0">SUM(C3:C38)</f>
        <v>52</v>
      </c>
      <c r="D39" s="125">
        <f t="shared" si="0"/>
        <v>2613.5</v>
      </c>
      <c r="E39" s="126">
        <f t="shared" si="0"/>
        <v>65</v>
      </c>
      <c r="F39" s="125">
        <f t="shared" si="0"/>
        <v>2613</v>
      </c>
      <c r="G39" s="126">
        <f t="shared" si="0"/>
        <v>56</v>
      </c>
      <c r="H39" s="125">
        <f t="shared" si="0"/>
        <v>2504</v>
      </c>
      <c r="I39" s="126">
        <f t="shared" si="0"/>
        <v>35</v>
      </c>
      <c r="J39" s="125">
        <f t="shared" si="0"/>
        <v>2667.5</v>
      </c>
      <c r="K39" s="126">
        <f t="shared" si="0"/>
        <v>56</v>
      </c>
      <c r="L39" s="125">
        <f t="shared" si="0"/>
        <v>2542</v>
      </c>
      <c r="M39" s="126">
        <f t="shared" si="0"/>
        <v>35</v>
      </c>
      <c r="N39" s="125">
        <f t="shared" si="0"/>
        <v>2584</v>
      </c>
      <c r="O39" s="126">
        <f t="shared" si="0"/>
        <v>50</v>
      </c>
      <c r="P39" s="125">
        <f t="shared" si="0"/>
        <v>2577.5</v>
      </c>
      <c r="Q39" s="126">
        <f t="shared" si="0"/>
        <v>39</v>
      </c>
      <c r="R39" s="125">
        <f t="shared" si="0"/>
        <v>2548</v>
      </c>
      <c r="S39" s="126">
        <f t="shared" si="0"/>
        <v>43</v>
      </c>
      <c r="T39" s="125">
        <f t="shared" si="0"/>
        <v>2608</v>
      </c>
      <c r="U39" s="126">
        <f t="shared" si="0"/>
        <v>60</v>
      </c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</row>
    <row r="40" spans="1:110" ht="15" x14ac:dyDescent="0.25">
      <c r="A40" s="274" t="s">
        <v>414</v>
      </c>
      <c r="B40" s="422">
        <f>MAX(B3:B38)</f>
        <v>83</v>
      </c>
      <c r="C40" s="423"/>
      <c r="D40" s="422">
        <f>MAX(D3:D38)</f>
        <v>86.5</v>
      </c>
      <c r="E40" s="423"/>
      <c r="F40" s="422">
        <f>MAX(F3:F38)</f>
        <v>87</v>
      </c>
      <c r="G40" s="423"/>
      <c r="H40" s="422">
        <f>MAX(H3:H38)</f>
        <v>88</v>
      </c>
      <c r="I40" s="423"/>
      <c r="J40" s="422">
        <f>MAX(J3:J38)</f>
        <v>89</v>
      </c>
      <c r="K40" s="423"/>
      <c r="L40" s="422">
        <f>MAX(L3:L38)</f>
        <v>91.5</v>
      </c>
      <c r="M40" s="423"/>
      <c r="N40" s="422">
        <f>MAX(N3:N38)</f>
        <v>88.5</v>
      </c>
      <c r="O40" s="423"/>
      <c r="P40" s="422">
        <f>MAX(P3:P38)</f>
        <v>94</v>
      </c>
      <c r="Q40" s="423"/>
      <c r="R40" s="422">
        <f>MAX(R3:R38)</f>
        <v>91</v>
      </c>
      <c r="S40" s="423"/>
      <c r="T40" s="422">
        <f>MAX(T3:T38)</f>
        <v>90.5</v>
      </c>
      <c r="U40" s="423"/>
    </row>
    <row r="41" spans="1:110" s="68" customFormat="1" ht="15" x14ac:dyDescent="0.25">
      <c r="A41" s="247" t="s">
        <v>275</v>
      </c>
      <c r="B41" s="133">
        <f>AVERAGE(B3:B38)</f>
        <v>72.085714285714289</v>
      </c>
      <c r="C41" s="134">
        <f>AVERAGE(C3:C38)</f>
        <v>1.4857142857142858</v>
      </c>
      <c r="D41" s="133">
        <f>AVERAGE(D3:D38)</f>
        <v>74.671428571428578</v>
      </c>
      <c r="E41" s="134">
        <f t="shared" ref="E41:U41" si="1">AVERAGE(E3:E38)</f>
        <v>1.8571428571428572</v>
      </c>
      <c r="F41" s="133">
        <f t="shared" si="1"/>
        <v>74.657142857142858</v>
      </c>
      <c r="G41" s="134">
        <f t="shared" si="1"/>
        <v>1.6</v>
      </c>
      <c r="H41" s="133">
        <f t="shared" si="1"/>
        <v>71.542857142857144</v>
      </c>
      <c r="I41" s="134">
        <f t="shared" si="1"/>
        <v>1</v>
      </c>
      <c r="J41" s="133">
        <f t="shared" si="1"/>
        <v>76.214285714285708</v>
      </c>
      <c r="K41" s="134">
        <f t="shared" si="1"/>
        <v>1.6</v>
      </c>
      <c r="L41" s="133">
        <f t="shared" si="1"/>
        <v>72.628571428571433</v>
      </c>
      <c r="M41" s="134">
        <f t="shared" si="1"/>
        <v>1</v>
      </c>
      <c r="N41" s="133">
        <f t="shared" si="1"/>
        <v>73.828571428571422</v>
      </c>
      <c r="O41" s="134">
        <f t="shared" si="1"/>
        <v>1.4285714285714286</v>
      </c>
      <c r="P41" s="133">
        <f t="shared" si="1"/>
        <v>73.642857142857139</v>
      </c>
      <c r="Q41" s="134">
        <f t="shared" si="1"/>
        <v>1.1142857142857143</v>
      </c>
      <c r="R41" s="133">
        <f t="shared" si="1"/>
        <v>72.8</v>
      </c>
      <c r="S41" s="134">
        <f t="shared" si="1"/>
        <v>1.2285714285714286</v>
      </c>
      <c r="T41" s="133">
        <f t="shared" si="1"/>
        <v>74.51428571428572</v>
      </c>
      <c r="U41" s="134">
        <f t="shared" si="1"/>
        <v>1.7142857142857142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</row>
    <row r="42" spans="1:110" ht="15" x14ac:dyDescent="0.25">
      <c r="A42" s="116"/>
      <c r="B42" s="127"/>
      <c r="C42" s="128"/>
      <c r="D42" s="127"/>
      <c r="E42" s="128"/>
      <c r="F42" s="127"/>
      <c r="G42" s="128"/>
      <c r="H42" s="127"/>
      <c r="I42" s="128"/>
      <c r="J42" s="127"/>
      <c r="K42" s="128"/>
      <c r="L42" s="127"/>
      <c r="M42" s="128"/>
      <c r="N42" s="127"/>
      <c r="O42" s="128"/>
      <c r="P42" s="127"/>
      <c r="Q42" s="128"/>
      <c r="R42" s="127"/>
      <c r="S42" s="128"/>
      <c r="T42" s="127"/>
      <c r="U42" s="128"/>
    </row>
    <row r="43" spans="1:110" s="69" customFormat="1" ht="15" x14ac:dyDescent="0.25">
      <c r="A43" s="248" t="s">
        <v>402</v>
      </c>
      <c r="B43" s="418">
        <f>B51-C51</f>
        <v>-1</v>
      </c>
      <c r="C43" s="419"/>
      <c r="D43" s="418">
        <f>D51-E51</f>
        <v>10</v>
      </c>
      <c r="E43" s="419"/>
      <c r="F43" s="418">
        <f t="shared" ref="F43" si="2">F51-G51</f>
        <v>12</v>
      </c>
      <c r="G43" s="419"/>
      <c r="H43" s="418">
        <f t="shared" ref="H43" si="3">H51-I51</f>
        <v>-9</v>
      </c>
      <c r="I43" s="419"/>
      <c r="J43" s="418">
        <f t="shared" ref="J43" si="4">J51-K51</f>
        <v>7</v>
      </c>
      <c r="K43" s="419"/>
      <c r="L43" s="418">
        <f t="shared" ref="L43" si="5">L51-M51</f>
        <v>-14</v>
      </c>
      <c r="M43" s="419"/>
      <c r="N43" s="418">
        <f t="shared" ref="N43" si="6">N51-O51</f>
        <v>2</v>
      </c>
      <c r="O43" s="419"/>
      <c r="P43" s="418">
        <f t="shared" ref="P43" si="7">P51-Q51</f>
        <v>-13</v>
      </c>
      <c r="Q43" s="419"/>
      <c r="R43" s="418">
        <f t="shared" ref="R43" si="8">R51-S51</f>
        <v>-6</v>
      </c>
      <c r="S43" s="419"/>
      <c r="T43" s="418">
        <f t="shared" ref="T43" si="9">T51-U51</f>
        <v>12</v>
      </c>
      <c r="U43" s="419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</row>
    <row r="44" spans="1:110" ht="15" x14ac:dyDescent="0.25">
      <c r="A44" s="116"/>
      <c r="B44" s="127"/>
      <c r="C44" s="129"/>
      <c r="D44" s="127"/>
      <c r="E44" s="129"/>
      <c r="F44" s="127"/>
      <c r="G44" s="129"/>
      <c r="H44" s="127"/>
      <c r="I44" s="129"/>
      <c r="J44" s="127"/>
      <c r="K44" s="129"/>
      <c r="L44" s="127"/>
      <c r="M44" s="129"/>
      <c r="N44" s="127"/>
      <c r="O44" s="129"/>
      <c r="P44" s="127"/>
      <c r="Q44" s="129"/>
      <c r="R44" s="127"/>
      <c r="S44" s="129"/>
      <c r="T44" s="127"/>
      <c r="U44" s="129"/>
    </row>
    <row r="45" spans="1:110" ht="15" x14ac:dyDescent="0.25">
      <c r="A45" s="249" t="s">
        <v>276</v>
      </c>
      <c r="B45" s="420">
        <f>COUNTIF(B3:B38, 65.5) + COUNTIF(B3:B38, 71.5) + COUNTIF(B3:B38, 77.5) + COUNTIF(B3:B38, 83.5) + COUNTIF(B3:B38, 89.5) + COUNTIF(B3:B38, 95.5)</f>
        <v>4</v>
      </c>
      <c r="C45" s="421"/>
      <c r="D45" s="420">
        <f>COUNTIF(D3:D38, 65.5) + COUNTIF(D3:D38, 71.5) + COUNTIF(D3:D38, 77.5) + COUNTIF(D3:D38, 83.5) + COUNTIF(D3:D38, 89.5) + COUNTIF(D3:D38, 95.5)</f>
        <v>0</v>
      </c>
      <c r="E45" s="421"/>
      <c r="F45" s="420">
        <f t="shared" ref="F45" si="10">COUNTIF(F3:F38, 65.5) + COUNTIF(F3:F38, 71.5) + COUNTIF(F3:F38, 77.5) + COUNTIF(F3:F38, 83.5) + COUNTIF(F3:F38, 89.5) + COUNTIF(F3:F38, 95.5)</f>
        <v>0</v>
      </c>
      <c r="G45" s="421"/>
      <c r="H45" s="420">
        <f t="shared" ref="H45" si="11">COUNTIF(H3:H38, 65.5) + COUNTIF(H3:H38, 71.5) + COUNTIF(H3:H38, 77.5) + COUNTIF(H3:H38, 83.5) + COUNTIF(H3:H38, 89.5) + COUNTIF(H3:H38, 95.5)</f>
        <v>1</v>
      </c>
      <c r="I45" s="421"/>
      <c r="J45" s="420">
        <f t="shared" ref="J45" si="12">COUNTIF(J3:J38, 65.5) + COUNTIF(J3:J38, 71.5) + COUNTIF(J3:J38, 77.5) + COUNTIF(J3:J38, 83.5) + COUNTIF(J3:J38, 89.5) + COUNTIF(J3:J38, 95.5)</f>
        <v>3</v>
      </c>
      <c r="K45" s="421"/>
      <c r="L45" s="420">
        <f t="shared" ref="L45" si="13">COUNTIF(L3:L38, 65.5) + COUNTIF(L3:L38, 71.5) + COUNTIF(L3:L38, 77.5) + COUNTIF(L3:L38, 83.5) + COUNTIF(L3:L38, 89.5) + COUNTIF(L3:L38, 95.5)</f>
        <v>3</v>
      </c>
      <c r="M45" s="421"/>
      <c r="N45" s="420">
        <f t="shared" ref="N45" si="14">COUNTIF(N3:N38, 65.5) + COUNTIF(N3:N38, 71.5) + COUNTIF(N3:N38, 77.5) + COUNTIF(N3:N38, 83.5) + COUNTIF(N3:N38, 89.5) + COUNTIF(N3:N38, 95.5)</f>
        <v>3</v>
      </c>
      <c r="O45" s="421"/>
      <c r="P45" s="420">
        <f>COUNTIF(P3:P38, 65.5) + COUNTIF(P3:P38, 71.5) + COUNTIF(P3:P38, 77.5) + COUNTIF(P3:P38, 83.5) + COUNTIF(P3:P38, 89.5) + COUNTIF(P3:P38, 95.5)</f>
        <v>3</v>
      </c>
      <c r="Q45" s="421"/>
      <c r="R45" s="420">
        <f t="shared" ref="R45" si="15">COUNTIF(R3:R38, 65.5) + COUNTIF(R3:R38, 71.5) + COUNTIF(R3:R38, 77.5) + COUNTIF(R3:R38, 83.5) + COUNTIF(R3:R38, 89.5) + COUNTIF(R3:R38, 95.5)</f>
        <v>0</v>
      </c>
      <c r="S45" s="421"/>
      <c r="T45" s="420">
        <f t="shared" ref="T45" si="16">COUNTIF(T3:T38, 65.5) + COUNTIF(T3:T38, 71.5) + COUNTIF(T3:T38, 77.5) + COUNTIF(T3:T38, 83.5) + COUNTIF(T3:T38, 89.5) + COUNTIF(T3:T38, 95.5)</f>
        <v>3</v>
      </c>
      <c r="U45" s="421"/>
    </row>
    <row r="46" spans="1:110" ht="15" x14ac:dyDescent="0.25">
      <c r="A46" s="249" t="s">
        <v>277</v>
      </c>
      <c r="B46" s="420">
        <v>3</v>
      </c>
      <c r="C46" s="421"/>
      <c r="D46" s="420"/>
      <c r="E46" s="421"/>
      <c r="F46" s="420"/>
      <c r="G46" s="421"/>
      <c r="H46" s="420">
        <v>2</v>
      </c>
      <c r="I46" s="421"/>
      <c r="J46" s="420">
        <v>1</v>
      </c>
      <c r="K46" s="421"/>
      <c r="L46" s="420">
        <v>2</v>
      </c>
      <c r="M46" s="421"/>
      <c r="N46" s="420">
        <v>5</v>
      </c>
      <c r="O46" s="421"/>
      <c r="P46" s="420">
        <v>2</v>
      </c>
      <c r="Q46" s="421"/>
      <c r="R46" s="420"/>
      <c r="S46" s="421"/>
      <c r="T46" s="420">
        <v>2</v>
      </c>
      <c r="U46" s="421"/>
    </row>
    <row r="47" spans="1:110" ht="15" x14ac:dyDescent="0.25">
      <c r="A47" s="116"/>
      <c r="B47" s="127"/>
      <c r="C47" s="129"/>
      <c r="D47" s="127"/>
      <c r="E47" s="129"/>
      <c r="F47" s="127"/>
      <c r="G47" s="129"/>
      <c r="H47" s="127"/>
      <c r="I47" s="129"/>
      <c r="J47" s="127"/>
      <c r="K47" s="129"/>
      <c r="L47" s="127"/>
      <c r="M47" s="129"/>
      <c r="N47" s="127"/>
      <c r="O47" s="129"/>
      <c r="P47" s="127"/>
      <c r="Q47" s="129"/>
      <c r="R47" s="127"/>
      <c r="S47" s="129"/>
      <c r="T47" s="127"/>
      <c r="U47" s="129"/>
    </row>
    <row r="48" spans="1:110" ht="15" x14ac:dyDescent="0.25">
      <c r="A48" s="250" t="s">
        <v>316</v>
      </c>
      <c r="B48" s="404">
        <f>COUNTIF(B3:B38, 66) + COUNTIF(B3:B38, 72) + COUNTIF(B3:B38, 78) + COUNTIF(B3:B38, 84) + COUNTIF(B3:B38, 90) + COUNTIF(B3:B38, 96)</f>
        <v>2</v>
      </c>
      <c r="C48" s="405"/>
      <c r="D48" s="404">
        <f>COUNTIF(D3:D38, 66) + COUNTIF(D3:D38, 72) + COUNTIF(D3:D38, 78) + COUNTIF(D3:D38, 84) + COUNTIF(D3:D38, 90) + COUNTIF(D3:D38, 96)</f>
        <v>2</v>
      </c>
      <c r="E48" s="405"/>
      <c r="F48" s="404">
        <f t="shared" ref="F48" si="17">COUNTIF(F3:F38, 66) + COUNTIF(F3:F38, 72) + COUNTIF(F3:F38, 78) + COUNTIF(F3:F38, 84) + COUNTIF(F3:F38, 90) + COUNTIF(F3:F38, 96)</f>
        <v>3</v>
      </c>
      <c r="G48" s="405"/>
      <c r="H48" s="404">
        <f t="shared" ref="H48" si="18">COUNTIF(H3:H38, 66) + COUNTIF(H3:H38, 72) + COUNTIF(H3:H38, 78) + COUNTIF(H3:H38, 84) + COUNTIF(H3:H38, 90) + COUNTIF(H3:H38, 96)</f>
        <v>1</v>
      </c>
      <c r="I48" s="405"/>
      <c r="J48" s="404">
        <f t="shared" ref="J48" si="19">COUNTIF(J3:J38, 66) + COUNTIF(J3:J38, 72) + COUNTIF(J3:J38, 78) + COUNTIF(J3:J38, 84) + COUNTIF(J3:J38, 90) + COUNTIF(J3:J38, 96)</f>
        <v>3</v>
      </c>
      <c r="K48" s="405"/>
      <c r="L48" s="404">
        <f t="shared" ref="L48" si="20">COUNTIF(L3:L38, 66) + COUNTIF(L3:L38, 72) + COUNTIF(L3:L38, 78) + COUNTIF(L3:L38, 84) + COUNTIF(L3:L38, 90) + COUNTIF(L3:L38, 96)</f>
        <v>2</v>
      </c>
      <c r="M48" s="405"/>
      <c r="N48" s="404">
        <f t="shared" ref="N48" si="21">COUNTIF(N3:N38, 66) + COUNTIF(N3:N38, 72) + COUNTIF(N3:N38, 78) + COUNTIF(N3:N38, 84) + COUNTIF(N3:N38, 90) + COUNTIF(N3:N38, 96)</f>
        <v>3</v>
      </c>
      <c r="O48" s="405"/>
      <c r="P48" s="404">
        <f t="shared" ref="P48" si="22">COUNTIF(P3:P38, 66) + COUNTIF(P3:P38, 72) + COUNTIF(P3:P38, 78) + COUNTIF(P3:P38, 84) + COUNTIF(P3:P38, 90) + COUNTIF(P3:P38, 96)</f>
        <v>3</v>
      </c>
      <c r="Q48" s="405"/>
      <c r="R48" s="404">
        <f t="shared" ref="R48" si="23">COUNTIF(R3:R38, 66) + COUNTIF(R3:R38, 72) + COUNTIF(R3:R38, 78) + COUNTIF(R3:R38, 84) + COUNTIF(R3:R38, 90) + COUNTIF(R3:R38, 96)</f>
        <v>3</v>
      </c>
      <c r="S48" s="405"/>
      <c r="T48" s="404">
        <f t="shared" ref="T48" si="24">COUNTIF(T3:T38, 66) + COUNTIF(T3:T38, 72) + COUNTIF(T3:T38, 78) + COUNTIF(T3:T38, 84) + COUNTIF(T3:T38, 90) + COUNTIF(T3:T38, 96)</f>
        <v>3</v>
      </c>
      <c r="U48" s="405"/>
    </row>
    <row r="49" spans="1:21" ht="15" x14ac:dyDescent="0.25">
      <c r="A49" s="250" t="s">
        <v>317</v>
      </c>
      <c r="B49" s="404">
        <v>2</v>
      </c>
      <c r="C49" s="405"/>
      <c r="D49" s="404">
        <v>1</v>
      </c>
      <c r="E49" s="405"/>
      <c r="F49" s="404">
        <v>2</v>
      </c>
      <c r="G49" s="405"/>
      <c r="H49" s="404">
        <v>0</v>
      </c>
      <c r="I49" s="405"/>
      <c r="J49" s="404">
        <v>1</v>
      </c>
      <c r="K49" s="405"/>
      <c r="L49" s="404">
        <v>0</v>
      </c>
      <c r="M49" s="405"/>
      <c r="N49" s="404">
        <v>3</v>
      </c>
      <c r="O49" s="405"/>
      <c r="P49" s="404">
        <v>5</v>
      </c>
      <c r="Q49" s="405"/>
      <c r="R49" s="404">
        <v>2</v>
      </c>
      <c r="S49" s="405"/>
      <c r="T49" s="404">
        <v>1</v>
      </c>
      <c r="U49" s="405"/>
    </row>
    <row r="50" spans="1:21" ht="15" x14ac:dyDescent="0.25">
      <c r="A50" s="116"/>
      <c r="B50" s="127"/>
      <c r="C50" s="130"/>
      <c r="D50" s="127"/>
      <c r="E50" s="130"/>
      <c r="F50" s="127"/>
      <c r="G50" s="130"/>
      <c r="H50" s="127"/>
      <c r="I50" s="130"/>
      <c r="J50" s="127"/>
      <c r="K50" s="130"/>
      <c r="L50" s="127"/>
      <c r="M50" s="130"/>
      <c r="N50" s="127"/>
      <c r="O50" s="130"/>
      <c r="P50" s="127"/>
      <c r="Q50" s="130"/>
      <c r="R50" s="127"/>
      <c r="S50" s="130"/>
      <c r="T50" s="127"/>
      <c r="U50" s="130"/>
    </row>
    <row r="51" spans="1:21" ht="15" x14ac:dyDescent="0.25">
      <c r="A51" s="251" t="s">
        <v>293</v>
      </c>
      <c r="B51" s="131">
        <v>56</v>
      </c>
      <c r="C51" s="132">
        <v>57</v>
      </c>
      <c r="D51" s="131">
        <v>69</v>
      </c>
      <c r="E51" s="132">
        <v>59</v>
      </c>
      <c r="F51" s="131">
        <v>70</v>
      </c>
      <c r="G51" s="132">
        <v>58</v>
      </c>
      <c r="H51" s="131">
        <v>54</v>
      </c>
      <c r="I51" s="132">
        <v>63</v>
      </c>
      <c r="J51" s="131">
        <v>80</v>
      </c>
      <c r="K51" s="132">
        <v>73</v>
      </c>
      <c r="L51" s="131">
        <v>56</v>
      </c>
      <c r="M51" s="132">
        <v>70</v>
      </c>
      <c r="N51" s="131">
        <v>67</v>
      </c>
      <c r="O51" s="132">
        <v>65</v>
      </c>
      <c r="P51" s="131">
        <v>64</v>
      </c>
      <c r="Q51" s="132">
        <v>77</v>
      </c>
      <c r="R51" s="131">
        <v>62</v>
      </c>
      <c r="S51" s="132">
        <v>68</v>
      </c>
      <c r="T51" s="131">
        <v>70</v>
      </c>
      <c r="U51" s="132">
        <v>58</v>
      </c>
    </row>
    <row r="52" spans="1:21" ht="15" x14ac:dyDescent="0.25">
      <c r="A52" s="116"/>
      <c r="B52" s="127"/>
      <c r="C52" s="128"/>
      <c r="D52" s="127"/>
      <c r="E52" s="129"/>
      <c r="F52" s="127"/>
      <c r="G52" s="129"/>
      <c r="H52" s="127"/>
      <c r="I52" s="128"/>
      <c r="J52" s="127"/>
      <c r="K52" s="128"/>
      <c r="L52" s="127"/>
      <c r="M52" s="128"/>
      <c r="N52" s="127"/>
      <c r="O52" s="128"/>
      <c r="P52" s="127"/>
      <c r="Q52" s="128"/>
      <c r="R52" s="127"/>
      <c r="S52" s="128"/>
      <c r="T52" s="127"/>
      <c r="U52" s="128"/>
    </row>
    <row r="53" spans="1:21" ht="15" x14ac:dyDescent="0.25">
      <c r="A53" s="252" t="s">
        <v>309</v>
      </c>
      <c r="B53" s="204">
        <f>COUNTIF(C3:C38,3)</f>
        <v>15</v>
      </c>
      <c r="C53" s="261">
        <f>B53/'RAW DATA andamento'!$B$57</f>
        <v>0.42857142857142855</v>
      </c>
      <c r="D53" s="204">
        <f>COUNTIF(E3:E38,3)</f>
        <v>20</v>
      </c>
      <c r="E53" s="261">
        <f>D53/'RAW DATA andamento'!$B$57</f>
        <v>0.5714285714285714</v>
      </c>
      <c r="F53" s="204">
        <f>COUNTIF(G3:G38,3)</f>
        <v>15</v>
      </c>
      <c r="G53" s="261">
        <f>F53/'RAW DATA andamento'!$B$57</f>
        <v>0.42857142857142855</v>
      </c>
      <c r="H53" s="204">
        <f>COUNTIF(I3:I38,3)</f>
        <v>9</v>
      </c>
      <c r="I53" s="261">
        <f>H53/'RAW DATA andamento'!$B$57</f>
        <v>0.25714285714285712</v>
      </c>
      <c r="J53" s="204">
        <f>COUNTIF(K3:K38,3)</f>
        <v>17</v>
      </c>
      <c r="K53" s="261">
        <f>J53/'RAW DATA andamento'!$B$57</f>
        <v>0.48571428571428571</v>
      </c>
      <c r="L53" s="204">
        <f>COUNTIF(M3:M38,3)</f>
        <v>10</v>
      </c>
      <c r="M53" s="261">
        <f>L53/'RAW DATA andamento'!$B$57</f>
        <v>0.2857142857142857</v>
      </c>
      <c r="N53" s="204">
        <f>COUNTIF(O3:O38,3)</f>
        <v>14</v>
      </c>
      <c r="O53" s="261">
        <f>N53/'RAW DATA andamento'!$B$57</f>
        <v>0.4</v>
      </c>
      <c r="P53" s="204">
        <f>COUNTIF(Q3:Q38,3)</f>
        <v>11</v>
      </c>
      <c r="Q53" s="261">
        <f>P53/'RAW DATA andamento'!$B$57</f>
        <v>0.31428571428571428</v>
      </c>
      <c r="R53" s="204">
        <f>COUNTIF(S3:S38,3)</f>
        <v>13</v>
      </c>
      <c r="S53" s="261">
        <f>R53/'RAW DATA andamento'!$B$57</f>
        <v>0.37142857142857144</v>
      </c>
      <c r="T53" s="204">
        <f>COUNTIF(U3:U38,3)</f>
        <v>17</v>
      </c>
      <c r="U53" s="263">
        <f>T53/'RAW DATA andamento'!$B$57</f>
        <v>0.48571428571428571</v>
      </c>
    </row>
    <row r="54" spans="1:21" ht="15" x14ac:dyDescent="0.25">
      <c r="A54" s="253" t="s">
        <v>310</v>
      </c>
      <c r="B54" s="205">
        <f>COUNTIF(C3:C38,1)</f>
        <v>7</v>
      </c>
      <c r="C54" s="259">
        <f>B54/'RAW DATA andamento'!$B$57</f>
        <v>0.2</v>
      </c>
      <c r="D54" s="205">
        <f>COUNTIF(E3:E38,1)</f>
        <v>5</v>
      </c>
      <c r="E54" s="259">
        <f>D54/'RAW DATA andamento'!$B$57</f>
        <v>0.14285714285714285</v>
      </c>
      <c r="F54" s="205">
        <f>COUNTIF(G3:G38,1)</f>
        <v>11</v>
      </c>
      <c r="G54" s="259">
        <f>F54/'RAW DATA andamento'!$B$57</f>
        <v>0.31428571428571428</v>
      </c>
      <c r="H54" s="205">
        <f>COUNTIF(I3:I38,1)</f>
        <v>8</v>
      </c>
      <c r="I54" s="259">
        <f>H54/'RAW DATA andamento'!$B$57</f>
        <v>0.22857142857142856</v>
      </c>
      <c r="J54" s="205">
        <f>COUNTIF(K3:K38,1)</f>
        <v>5</v>
      </c>
      <c r="K54" s="259">
        <f>J54/'RAW DATA andamento'!$B$57</f>
        <v>0.14285714285714285</v>
      </c>
      <c r="L54" s="205">
        <f>COUNTIF(M3:M38,1)</f>
        <v>5</v>
      </c>
      <c r="M54" s="259">
        <f>L54/'RAW DATA andamento'!$B$57</f>
        <v>0.14285714285714285</v>
      </c>
      <c r="N54" s="205">
        <f>COUNTIF(O3:O38,1)</f>
        <v>8</v>
      </c>
      <c r="O54" s="259">
        <f>N54/'RAW DATA andamento'!$B$57</f>
        <v>0.22857142857142856</v>
      </c>
      <c r="P54" s="205">
        <f>COUNTIF(Q3:Q38,1)</f>
        <v>6</v>
      </c>
      <c r="Q54" s="259">
        <f>P54/'RAW DATA andamento'!$B$57</f>
        <v>0.17142857142857143</v>
      </c>
      <c r="R54" s="205">
        <f>COUNTIF(S3:S38,1)</f>
        <v>4</v>
      </c>
      <c r="S54" s="259">
        <f>R54/'RAW DATA andamento'!$B$57</f>
        <v>0.11428571428571428</v>
      </c>
      <c r="T54" s="205">
        <f>COUNTIF(U3:U38,1)</f>
        <v>9</v>
      </c>
      <c r="U54" s="264">
        <f>T54/'RAW DATA andamento'!$B$57</f>
        <v>0.25714285714285712</v>
      </c>
    </row>
    <row r="55" spans="1:21" ht="15" x14ac:dyDescent="0.25">
      <c r="A55" s="254" t="s">
        <v>311</v>
      </c>
      <c r="B55" s="59">
        <f>COUNTIF(C3:C38,0)</f>
        <v>13</v>
      </c>
      <c r="C55" s="260">
        <f>B55/'RAW DATA andamento'!$B$57</f>
        <v>0.37142857142857144</v>
      </c>
      <c r="D55" s="206">
        <f t="shared" ref="D55" si="25">COUNTIF(E3:E38,0)</f>
        <v>10</v>
      </c>
      <c r="E55" s="260">
        <f>D55/'RAW DATA andamento'!$B$57</f>
        <v>0.2857142857142857</v>
      </c>
      <c r="F55" s="206">
        <f t="shared" ref="F55" si="26">COUNTIF(G3:G38,0)</f>
        <v>9</v>
      </c>
      <c r="G55" s="260">
        <f>F55/'RAW DATA andamento'!$B$57</f>
        <v>0.25714285714285712</v>
      </c>
      <c r="H55" s="206">
        <f t="shared" ref="H55" si="27">COUNTIF(I3:I38,0)</f>
        <v>18</v>
      </c>
      <c r="I55" s="260">
        <f>H55/'RAW DATA andamento'!$B$57</f>
        <v>0.51428571428571423</v>
      </c>
      <c r="J55" s="206">
        <f t="shared" ref="J55" si="28">COUNTIF(K3:K38,0)</f>
        <v>13</v>
      </c>
      <c r="K55" s="260">
        <f>J55/'RAW DATA andamento'!$B$57</f>
        <v>0.37142857142857144</v>
      </c>
      <c r="L55" s="206">
        <f t="shared" ref="L55" si="29">COUNTIF(M3:M38,0)</f>
        <v>20</v>
      </c>
      <c r="M55" s="262">
        <f>L55/'RAW DATA andamento'!$B$57</f>
        <v>0.5714285714285714</v>
      </c>
      <c r="N55" s="206">
        <f t="shared" ref="N55" si="30">COUNTIF(O3:O38,0)</f>
        <v>13</v>
      </c>
      <c r="O55" s="260">
        <f>N55/'RAW DATA andamento'!$B$57</f>
        <v>0.37142857142857144</v>
      </c>
      <c r="P55" s="206">
        <f t="shared" ref="P55" si="31">COUNTIF(Q3:Q38,0)</f>
        <v>18</v>
      </c>
      <c r="Q55" s="260">
        <f>P55/'RAW DATA andamento'!$B$57</f>
        <v>0.51428571428571423</v>
      </c>
      <c r="R55" s="206">
        <f t="shared" ref="R55" si="32">COUNTIF(S3:S38,0)</f>
        <v>18</v>
      </c>
      <c r="S55" s="260">
        <f>R55/'RAW DATA andamento'!$B$57</f>
        <v>0.51428571428571423</v>
      </c>
      <c r="T55" s="206">
        <f t="shared" ref="T55" si="33">COUNTIF(U3:U38,0)</f>
        <v>9</v>
      </c>
      <c r="U55" s="265">
        <f>T55/'RAW DATA andamento'!$B$57</f>
        <v>0.25714285714285712</v>
      </c>
    </row>
    <row r="56" spans="1:21" x14ac:dyDescent="0.2">
      <c r="H56" s="207"/>
    </row>
    <row r="57" spans="1:21" ht="15" x14ac:dyDescent="0.25">
      <c r="A57" s="255" t="s">
        <v>366</v>
      </c>
      <c r="B57" s="218">
        <f>COUNTIF(B3:B38,"&lt;66")</f>
        <v>5</v>
      </c>
      <c r="C57" s="219">
        <f>B57/'RAW DATA andamento'!$B$57</f>
        <v>0.14285714285714285</v>
      </c>
      <c r="D57" s="218">
        <f>COUNTIF(D3:D38,"&lt;66")</f>
        <v>5</v>
      </c>
      <c r="E57" s="219">
        <f>D57/'RAW DATA andamento'!$B$57</f>
        <v>0.14285714285714285</v>
      </c>
      <c r="F57" s="218">
        <f>COUNTIF(F3:F38,"&lt;66")</f>
        <v>2</v>
      </c>
      <c r="G57" s="219">
        <f>F57/'RAW DATA andamento'!$B$57</f>
        <v>5.7142857142857141E-2</v>
      </c>
      <c r="H57" s="218">
        <f>COUNTIF(H3:H38,"&lt;66")</f>
        <v>7</v>
      </c>
      <c r="I57" s="219">
        <f>H57/'RAW DATA andamento'!$B$57</f>
        <v>0.2</v>
      </c>
      <c r="J57" s="218">
        <f>COUNTIF(J3:J38,"&lt;66")</f>
        <v>1</v>
      </c>
      <c r="K57" s="219">
        <f>J57/'RAW DATA andamento'!$B$57</f>
        <v>2.8571428571428571E-2</v>
      </c>
      <c r="L57" s="218">
        <f>COUNTIF(L3:L38,"&lt;66")</f>
        <v>5</v>
      </c>
      <c r="M57" s="219">
        <f>L57/'RAW DATA andamento'!$B$57</f>
        <v>0.14285714285714285</v>
      </c>
      <c r="N57" s="218">
        <f>COUNTIF(N3:N38,"&lt;66")</f>
        <v>7</v>
      </c>
      <c r="O57" s="219">
        <f>N57/'RAW DATA andamento'!$B$57</f>
        <v>0.2</v>
      </c>
      <c r="P57" s="218">
        <f>COUNTIF(P3:P38,"&lt;66")</f>
        <v>5</v>
      </c>
      <c r="Q57" s="219">
        <f>P57/'RAW DATA andamento'!$B$57</f>
        <v>0.14285714285714285</v>
      </c>
      <c r="R57" s="218">
        <f>COUNTIF(R3:R38,"&lt;66")</f>
        <v>4</v>
      </c>
      <c r="S57" s="219">
        <f>R57/'RAW DATA andamento'!$B$57</f>
        <v>0.11428571428571428</v>
      </c>
      <c r="T57" s="218">
        <f>COUNTIF(T3:T38,"&lt;66")</f>
        <v>2</v>
      </c>
      <c r="U57" s="219">
        <f>T57/'RAW DATA andamento'!$B$57</f>
        <v>5.7142857142857141E-2</v>
      </c>
    </row>
    <row r="58" spans="1:21" ht="15" x14ac:dyDescent="0.25">
      <c r="A58" s="255" t="s">
        <v>367</v>
      </c>
      <c r="B58" s="218">
        <f>COUNTIFS(B3:B38,"&gt; 66", B3:B38,"&lt; 72")+COUNTIF(B3:B38,"=66")</f>
        <v>13</v>
      </c>
      <c r="C58" s="219">
        <f>B58/'RAW DATA andamento'!$B$57</f>
        <v>0.37142857142857144</v>
      </c>
      <c r="D58" s="218">
        <f>COUNTIFS(D3:D38,"&gt; 66", D3:D38,"&lt; 72")+COUNTIF(D3:D38,"=66")</f>
        <v>6</v>
      </c>
      <c r="E58" s="219">
        <f>D58/'RAW DATA andamento'!$B$57</f>
        <v>0.17142857142857143</v>
      </c>
      <c r="F58" s="218">
        <f>COUNTIFS(F3:F38,"&gt; 66", F3:F38,"&lt; 72")+COUNTIF(F3:F38,"=66")</f>
        <v>10</v>
      </c>
      <c r="G58" s="219">
        <f>F58/'RAW DATA andamento'!$B$57</f>
        <v>0.2857142857142857</v>
      </c>
      <c r="H58" s="218">
        <f>COUNTIFS(H3:H38,"&gt; 66", H3:H38,"&lt; 72")+COUNTIF(H3:H38,"=66")</f>
        <v>9</v>
      </c>
      <c r="I58" s="219">
        <f>H58/'RAW DATA andamento'!$B$57</f>
        <v>0.25714285714285712</v>
      </c>
      <c r="J58" s="218">
        <f>COUNTIFS(J3:J38,"&gt; 66", J3:J38,"&lt; 72")+COUNTIF(J3:J38,"=66")</f>
        <v>9</v>
      </c>
      <c r="K58" s="219">
        <f>J58/'RAW DATA andamento'!$B$57</f>
        <v>0.25714285714285712</v>
      </c>
      <c r="L58" s="218">
        <f>COUNTIFS(L3:L38,"&gt; 66", L3:L38,"&lt; 72")+COUNTIF(L3:L38,"=66")</f>
        <v>11</v>
      </c>
      <c r="M58" s="219">
        <f>L58/'RAW DATA andamento'!$B$57</f>
        <v>0.31428571428571428</v>
      </c>
      <c r="N58" s="218">
        <f>COUNTIFS(N3:N38,"&gt; 66", N3:N38,"&lt; 72")+COUNTIF(N3:N38,"=66")</f>
        <v>4</v>
      </c>
      <c r="O58" s="219">
        <f>N58/'RAW DATA andamento'!$B$57</f>
        <v>0.11428571428571428</v>
      </c>
      <c r="P58" s="218">
        <f>COUNTIFS(P3:P38,"&gt; 66", P3:P38,"&lt; 72")+COUNTIF(P3:P38,"=66")</f>
        <v>11</v>
      </c>
      <c r="Q58" s="219">
        <f>P58/'RAW DATA andamento'!$B$57</f>
        <v>0.31428571428571428</v>
      </c>
      <c r="R58" s="218">
        <f>COUNTIFS(R3:R38,"&gt; 66", R3:R38,"&lt; 72")+COUNTIF(R3:R38,"=66")</f>
        <v>13</v>
      </c>
      <c r="S58" s="219">
        <f>R58/'RAW DATA andamento'!$B$57</f>
        <v>0.37142857142857144</v>
      </c>
      <c r="T58" s="218">
        <f>COUNTIFS(T3:T38,"&gt; 66", T3:T38,"&lt; 72")+COUNTIF(T3:T38,"=66")</f>
        <v>10</v>
      </c>
      <c r="U58" s="219">
        <f>T58/'RAW DATA andamento'!$B$57</f>
        <v>0.2857142857142857</v>
      </c>
    </row>
    <row r="59" spans="1:21" ht="15" x14ac:dyDescent="0.25">
      <c r="A59" s="255" t="s">
        <v>368</v>
      </c>
      <c r="B59" s="218">
        <f>COUNTIFS(B3:B38,"&gt; 72", B3:B38,"&lt; 78")+COUNTIF(B3:B38,"=72")</f>
        <v>8</v>
      </c>
      <c r="C59" s="219">
        <f>B59/'RAW DATA andamento'!$B$57</f>
        <v>0.22857142857142856</v>
      </c>
      <c r="D59" s="218">
        <f>COUNTIFS(D3:D38,"&gt; 72", D3:D38,"&lt; 78")+COUNTIF(D3:D38,"=72")</f>
        <v>11</v>
      </c>
      <c r="E59" s="219">
        <f>D59/'RAW DATA andamento'!$B$57</f>
        <v>0.31428571428571428</v>
      </c>
      <c r="F59" s="218">
        <f>COUNTIFS(F3:F38,"&gt; 72", F3:F38,"&lt; 78")+COUNTIF(F3:F38,"=72")</f>
        <v>12</v>
      </c>
      <c r="G59" s="219">
        <f>F59/'RAW DATA andamento'!$B$57</f>
        <v>0.34285714285714286</v>
      </c>
      <c r="H59" s="218">
        <f>COUNTIFS(H3:H38,"&gt; 72", H3:H38,"&lt; 78")+COUNTIF(H3:H38,"=72")</f>
        <v>13</v>
      </c>
      <c r="I59" s="219">
        <f>H59/'RAW DATA andamento'!$B$57</f>
        <v>0.37142857142857144</v>
      </c>
      <c r="J59" s="218">
        <f>COUNTIFS(J3:J38,"&gt; 72", J3:J38,"&lt; 78")+COUNTIF(J3:J38,"=72")</f>
        <v>9</v>
      </c>
      <c r="K59" s="219">
        <f>J59/'RAW DATA andamento'!$B$57</f>
        <v>0.25714285714285712</v>
      </c>
      <c r="L59" s="218">
        <f>COUNTIFS(L3:L38,"&gt; 72", L3:L38,"&lt; 78")+COUNTIF(L3:L38,"=72")</f>
        <v>14</v>
      </c>
      <c r="M59" s="219">
        <f>L59/'RAW DATA andamento'!$B$57</f>
        <v>0.4</v>
      </c>
      <c r="N59" s="218">
        <f>COUNTIFS(N3:N38,"&gt; 72", N3:N38,"&lt; 78")+COUNTIF(N3:N38,"=72")</f>
        <v>14</v>
      </c>
      <c r="O59" s="219">
        <f>N59/'RAW DATA andamento'!$B$57</f>
        <v>0.4</v>
      </c>
      <c r="P59" s="218">
        <f>COUNTIFS(P3:P38,"&gt; 72", P3:P38,"&lt; 78")+COUNTIF(P3:P38,"=72")</f>
        <v>9</v>
      </c>
      <c r="Q59" s="219">
        <f>P59/'RAW DATA andamento'!$B$57</f>
        <v>0.25714285714285712</v>
      </c>
      <c r="R59" s="218">
        <f>COUNTIFS(R3:R38,"&gt; 72", R3:R38,"&lt; 78")+COUNTIF(R3:R38,"=72")</f>
        <v>10</v>
      </c>
      <c r="S59" s="219">
        <f>R59/'RAW DATA andamento'!$B$57</f>
        <v>0.2857142857142857</v>
      </c>
      <c r="T59" s="218">
        <f>COUNTIFS(T3:T38,"&gt; 72", T3:T38,"&lt; 78")+COUNTIF(T3:T38,"=72")</f>
        <v>14</v>
      </c>
      <c r="U59" s="219">
        <f>T59/'RAW DATA andamento'!$B$57</f>
        <v>0.4</v>
      </c>
    </row>
    <row r="60" spans="1:21" ht="15" x14ac:dyDescent="0.25">
      <c r="A60" s="255" t="s">
        <v>369</v>
      </c>
      <c r="B60" s="218">
        <f>COUNTIFS(B3:B38,"&gt; 78", B3:B38,"&lt; 84")+COUNTIF(B3:B38,"=78")</f>
        <v>9</v>
      </c>
      <c r="C60" s="219">
        <f>B60/'RAW DATA andamento'!$B$57</f>
        <v>0.25714285714285712</v>
      </c>
      <c r="D60" s="218">
        <f>COUNTIFS(D3:D38,"&gt; 78", D3:D38,"&lt; 84")+COUNTIF(D3:D38,"=78")</f>
        <v>11</v>
      </c>
      <c r="E60" s="219">
        <f>D60/'RAW DATA andamento'!$B$57</f>
        <v>0.31428571428571428</v>
      </c>
      <c r="F60" s="218">
        <f>COUNTIFS(F3:F38,"&gt; 78", F3:F38,"&lt; 84")+COUNTIF(F3:F38,"=78")</f>
        <v>8</v>
      </c>
      <c r="G60" s="219">
        <f>F60/'RAW DATA andamento'!$B$57</f>
        <v>0.22857142857142856</v>
      </c>
      <c r="H60" s="218">
        <f>COUNTIFS(H3:H38,"&gt; 78", H3:H38,"&lt; 84")+COUNTIF(H3:H38,"=78")</f>
        <v>5</v>
      </c>
      <c r="I60" s="219">
        <f>H60/'RAW DATA andamento'!$B$57</f>
        <v>0.14285714285714285</v>
      </c>
      <c r="J60" s="218">
        <f>COUNTIFS(J3:J38,"&gt; 78", J3:J38,"&lt; 84")+COUNTIF(J3:J38,"=78")</f>
        <v>11</v>
      </c>
      <c r="K60" s="219">
        <f>J60/'RAW DATA andamento'!$B$57</f>
        <v>0.31428571428571428</v>
      </c>
      <c r="L60" s="218">
        <f>COUNTIFS(L3:L38,"&gt; 78", L3:L38,"&lt; 84")+COUNTIF(L3:L38,"=78")</f>
        <v>4</v>
      </c>
      <c r="M60" s="219">
        <f>L60/'RAW DATA andamento'!$B$57</f>
        <v>0.11428571428571428</v>
      </c>
      <c r="N60" s="218">
        <f>COUNTIFS(N3:N38,"&gt; 78", N3:N38,"&lt; 84")+COUNTIF(N3:N38,"=78")</f>
        <v>5</v>
      </c>
      <c r="O60" s="219">
        <f>N60/'RAW DATA andamento'!$B$57</f>
        <v>0.14285714285714285</v>
      </c>
      <c r="P60" s="218">
        <f>COUNTIFS(P3:P38,"&gt; 78", P3:P38,"&lt; 84")+COUNTIF(P3:P38,"=78")</f>
        <v>6</v>
      </c>
      <c r="Q60" s="219">
        <f>P60/'RAW DATA andamento'!$B$57</f>
        <v>0.17142857142857143</v>
      </c>
      <c r="R60" s="218">
        <f>COUNTIFS(R3:R38,"&gt; 78", R3:R38,"&lt; 84")+COUNTIF(R3:R38,"=78")</f>
        <v>5</v>
      </c>
      <c r="S60" s="219">
        <f>R60/'RAW DATA andamento'!$B$57</f>
        <v>0.14285714285714285</v>
      </c>
      <c r="T60" s="218">
        <f>COUNTIFS(T3:T38,"&gt; 78", T3:T38,"&lt; 84")+COUNTIF(T3:T38,"=78")</f>
        <v>5</v>
      </c>
      <c r="U60" s="219">
        <f>T60/'RAW DATA andamento'!$B$57</f>
        <v>0.14285714285714285</v>
      </c>
    </row>
    <row r="61" spans="1:21" ht="15" x14ac:dyDescent="0.25">
      <c r="A61" s="255" t="s">
        <v>370</v>
      </c>
      <c r="B61" s="218">
        <f>COUNTIFS(B3:B38,"&gt; 84", B3:B38,"&lt; 90")+COUNTIF(B3:B38,"=84")</f>
        <v>0</v>
      </c>
      <c r="C61" s="219">
        <f>B61/'RAW DATA andamento'!$B$57</f>
        <v>0</v>
      </c>
      <c r="D61" s="218">
        <f>COUNTIFS(D3:D38,"&gt; 84", D3:D38,"&lt; 90")+COUNTIF(D3:D38,"=84")</f>
        <v>2</v>
      </c>
      <c r="E61" s="219">
        <f>D61/'RAW DATA andamento'!$B$57</f>
        <v>5.7142857142857141E-2</v>
      </c>
      <c r="F61" s="218">
        <f>COUNTIFS(F3:F38,"&gt; 84", F3:F38,"&lt; 90")+COUNTIF(F3:F38,"=84")</f>
        <v>3</v>
      </c>
      <c r="G61" s="219">
        <f>F61/'RAW DATA andamento'!$B$57</f>
        <v>8.5714285714285715E-2</v>
      </c>
      <c r="H61" s="218">
        <f>COUNTIFS(H3:H38,"&gt; 84", H3:H38,"&lt; 90")+COUNTIF(H3:H38,"=84")</f>
        <v>1</v>
      </c>
      <c r="I61" s="219">
        <f>H61/'RAW DATA andamento'!$B$57</f>
        <v>2.8571428571428571E-2</v>
      </c>
      <c r="J61" s="218">
        <f>COUNTIFS(J3:J38,"&gt; 84", J3:J38,"&lt; 90")+COUNTIF(J3:J38,"=84")</f>
        <v>5</v>
      </c>
      <c r="K61" s="219">
        <f>J61/'RAW DATA andamento'!$B$57</f>
        <v>0.14285714285714285</v>
      </c>
      <c r="L61" s="218">
        <f>COUNTIFS(L3:L38,"&gt; 84", L3:L38,"&lt; 90")+COUNTIF(L3:L38,"=84")</f>
        <v>0</v>
      </c>
      <c r="M61" s="219">
        <f>L61/'RAW DATA andamento'!$B$57</f>
        <v>0</v>
      </c>
      <c r="N61" s="218">
        <f>COUNTIFS(N3:N38,"&gt; 84", N3:N38,"&lt; 90")+COUNTIF(N3:N38,"=84")</f>
        <v>5</v>
      </c>
      <c r="O61" s="219">
        <f>N61/'RAW DATA andamento'!$B$57</f>
        <v>0.14285714285714285</v>
      </c>
      <c r="P61" s="218">
        <f>COUNTIFS(P3:P38,"&gt; 84", P3:P38,"&lt; 90")+COUNTIF(P3:P38,"=84")</f>
        <v>3</v>
      </c>
      <c r="Q61" s="219">
        <f>P61/'RAW DATA andamento'!$B$57</f>
        <v>8.5714285714285715E-2</v>
      </c>
      <c r="R61" s="218">
        <f>COUNTIFS(R3:R38,"&gt; 84", R3:R38,"&lt; 90")+COUNTIF(R3:R38,"=84")</f>
        <v>1</v>
      </c>
      <c r="S61" s="219">
        <f>R61/'RAW DATA andamento'!$B$57</f>
        <v>2.8571428571428571E-2</v>
      </c>
      <c r="T61" s="218">
        <f>COUNTIFS(T3:T38,"&gt; 84", T3:T38,"&lt; 90")+COUNTIF(T3:T38,"=84")</f>
        <v>3</v>
      </c>
      <c r="U61" s="219">
        <f>T61/'RAW DATA andamento'!$B$57</f>
        <v>8.5714285714285715E-2</v>
      </c>
    </row>
    <row r="62" spans="1:21" ht="15" x14ac:dyDescent="0.25">
      <c r="A62" s="255" t="s">
        <v>371</v>
      </c>
      <c r="B62" s="218">
        <f>COUNTIFS(B3:B38,"&gt; 90", B3:B38,"&lt; 96")+COUNTIF(B3:B38,"=90")</f>
        <v>0</v>
      </c>
      <c r="C62" s="219">
        <f>B62/'RAW DATA andamento'!$B$57</f>
        <v>0</v>
      </c>
      <c r="D62" s="218">
        <f>COUNTIFS(D3:D38,"&gt; 90", D3:D38,"&lt; 96")+COUNTIF(D3:D38,"=90")</f>
        <v>0</v>
      </c>
      <c r="E62" s="219">
        <f>D62/'RAW DATA andamento'!$B$57</f>
        <v>0</v>
      </c>
      <c r="F62" s="218">
        <f>COUNTIFS(F3:F38,"&gt; 90", F3:F38,"&lt; 96")+COUNTIF(F3:F38,"=90")</f>
        <v>0</v>
      </c>
      <c r="G62" s="219">
        <f>F62/'RAW DATA andamento'!$B$57</f>
        <v>0</v>
      </c>
      <c r="H62" s="218">
        <f>COUNTIFS(H3:H38,"&gt; 90", H3:H38,"&lt; 96")+COUNTIF(H3:H38,"=90")</f>
        <v>0</v>
      </c>
      <c r="I62" s="219">
        <f>H62/'RAW DATA andamento'!$B$57</f>
        <v>0</v>
      </c>
      <c r="J62" s="218">
        <f>COUNTIFS(J3:J38,"&gt; 90", J3:J38,"&lt; 96")+COUNTIF(J3:J38,"=90")</f>
        <v>0</v>
      </c>
      <c r="K62" s="219">
        <f>J62/'RAW DATA andamento'!$B$57</f>
        <v>0</v>
      </c>
      <c r="L62" s="218">
        <f>COUNTIFS(L3:L38,"&gt; 90", L3:L38,"&lt; 96")+COUNTIF(L3:L38,"=90")</f>
        <v>1</v>
      </c>
      <c r="M62" s="219">
        <f>L62/'RAW DATA andamento'!$B$57</f>
        <v>2.8571428571428571E-2</v>
      </c>
      <c r="N62" s="218">
        <f>COUNTIFS(N3:N38,"&gt; 90", N3:N38,"&lt; 96")+COUNTIF(N3:N38,"=90")</f>
        <v>0</v>
      </c>
      <c r="O62" s="219">
        <f>N62/'RAW DATA andamento'!$B$57</f>
        <v>0</v>
      </c>
      <c r="P62" s="218">
        <f>COUNTIFS(P3:P38,"&gt; 90", P3:P38,"&lt; 96")+COUNTIF(P3:P38,"=90")</f>
        <v>1</v>
      </c>
      <c r="Q62" s="219">
        <f>P62/'RAW DATA andamento'!$B$57</f>
        <v>2.8571428571428571E-2</v>
      </c>
      <c r="R62" s="218">
        <f>COUNTIFS(R3:R38,"&gt; 90", R3:R38,"&lt; 96")+COUNTIF(R3:R38,"=90")</f>
        <v>2</v>
      </c>
      <c r="S62" s="219">
        <f>R62/'RAW DATA andamento'!$B$57</f>
        <v>5.7142857142857141E-2</v>
      </c>
      <c r="T62" s="218">
        <f>COUNTIFS(T3:T38,"&gt; 90", T3:T38,"&lt; 96")+COUNTIF(T3:T38,"=90")</f>
        <v>1</v>
      </c>
      <c r="U62" s="219">
        <f>T62/'RAW DATA andamento'!$B$57</f>
        <v>2.8571428571428571E-2</v>
      </c>
    </row>
    <row r="63" spans="1:21" ht="15" x14ac:dyDescent="0.25">
      <c r="A63" s="255" t="s">
        <v>372</v>
      </c>
      <c r="B63" s="218">
        <f>COUNTIFS(B3:B38,"&gt; 96", B3:B38,"&lt; 102")+COUNTIF(B3:B38,"=96")</f>
        <v>0</v>
      </c>
      <c r="C63" s="219">
        <f>B63/'RAW DATA andamento'!$B$57</f>
        <v>0</v>
      </c>
      <c r="D63" s="218">
        <f>COUNTIFS(D3:D38,"&gt; 96", D3:D38,"&lt; 102")+COUNTIF(D3:D38,"=96")</f>
        <v>0</v>
      </c>
      <c r="E63" s="219">
        <f>D63/'RAW DATA andamento'!$B$57</f>
        <v>0</v>
      </c>
      <c r="F63" s="218">
        <f>COUNTIFS(F3:F38,"&gt; 96", F3:F38,"&lt; 102")+COUNTIF(F3:F38,"=96")</f>
        <v>0</v>
      </c>
      <c r="G63" s="219">
        <f>F63/'RAW DATA andamento'!$B$57</f>
        <v>0</v>
      </c>
      <c r="H63" s="218">
        <f>COUNTIFS(H3:H38,"&gt; 96", H3:H38,"&lt; 102")+COUNTIF(H3:H38,"=96")</f>
        <v>0</v>
      </c>
      <c r="I63" s="219">
        <f>H63/'RAW DATA andamento'!$B$57</f>
        <v>0</v>
      </c>
      <c r="J63" s="218">
        <f>COUNTIFS(J3:J38,"&gt; 96", J3:J38,"&lt; 102")+COUNTIF(J3:J38,"=96")</f>
        <v>0</v>
      </c>
      <c r="K63" s="219">
        <f>J63/'RAW DATA andamento'!$B$57</f>
        <v>0</v>
      </c>
      <c r="L63" s="218">
        <f>COUNTIFS(L3:L38,"&gt; 96", L3:L38,"&lt; 102")+COUNTIF(L3:L38,"=96")</f>
        <v>0</v>
      </c>
      <c r="M63" s="219">
        <f>L63/'RAW DATA andamento'!$B$57</f>
        <v>0</v>
      </c>
      <c r="N63" s="218">
        <f>COUNTIFS(N3:N38,"&gt; 96", N3:N38,"&lt; 102")+COUNTIF(N3:N38,"=96")</f>
        <v>0</v>
      </c>
      <c r="O63" s="219">
        <f>N63/'RAW DATA andamento'!$B$57</f>
        <v>0</v>
      </c>
      <c r="P63" s="218">
        <f>COUNTIFS(P3:P38,"&gt; 96", P3:P38,"&lt; 102")+COUNTIF(P3:P38,"=96")</f>
        <v>0</v>
      </c>
      <c r="Q63" s="219">
        <f>P63/'RAW DATA andamento'!$B$57</f>
        <v>0</v>
      </c>
      <c r="R63" s="218">
        <f>COUNTIFS(R3:R38,"&gt; 96", R3:R38,"&lt; 102")+COUNTIF(R3:R38,"=96")</f>
        <v>0</v>
      </c>
      <c r="S63" s="219">
        <f>R63/'RAW DATA andamento'!$B$57</f>
        <v>0</v>
      </c>
      <c r="T63" s="218">
        <f>COUNTIFS(T3:T38,"&gt; 96", T3:T38,"&lt; 102")+COUNTIF(T3:T38,"=96")</f>
        <v>0</v>
      </c>
      <c r="U63" s="219">
        <f>T63/'RAW DATA andamento'!$B$57</f>
        <v>0</v>
      </c>
    </row>
    <row r="64" spans="1:21" ht="15" x14ac:dyDescent="0.25">
      <c r="A64" s="255" t="s">
        <v>388</v>
      </c>
      <c r="B64" s="218">
        <f>COUNTIFS(B3:B38,"&gt; 102", B3:B38,"&lt; 108")+COUNTIF(B3:B38,"=102")</f>
        <v>0</v>
      </c>
      <c r="C64" s="219">
        <f>B64/'RAW DATA andamento'!$B$57</f>
        <v>0</v>
      </c>
      <c r="D64" s="218">
        <f>COUNTIFS(D3:D38,"&gt; 102", D3:D38,"&lt; 108")+COUNTIF(D3:D38,"=102")</f>
        <v>0</v>
      </c>
      <c r="E64" s="219">
        <f>D64/'RAW DATA andamento'!$B$57</f>
        <v>0</v>
      </c>
      <c r="F64" s="218">
        <f>COUNTIFS(F3:F38,"&gt; 102", F3:F38,"&lt; 108")+COUNTIF(F3:F38,"=102")</f>
        <v>0</v>
      </c>
      <c r="G64" s="219">
        <f>F64/'RAW DATA andamento'!$B$57</f>
        <v>0</v>
      </c>
      <c r="H64" s="218">
        <f>COUNTIFS(H3:H38,"&gt; 102", H3:H38,"&lt; 108")+COUNTIF(H3:H38,"=102")</f>
        <v>0</v>
      </c>
      <c r="I64" s="219">
        <f>H64/'RAW DATA andamento'!$B$57</f>
        <v>0</v>
      </c>
      <c r="J64" s="218">
        <f>COUNTIFS(J3:J38,"&gt; 102", J3:J38,"&lt; 108")+COUNTIF(J3:J38,"=102")</f>
        <v>0</v>
      </c>
      <c r="K64" s="219">
        <f>J64/'RAW DATA andamento'!$B$57</f>
        <v>0</v>
      </c>
      <c r="L64" s="218">
        <f>COUNTIFS(L3:L38,"&gt; 102", L3:L38,"&lt; 108")+COUNTIF(L3:L38,"=102")</f>
        <v>0</v>
      </c>
      <c r="M64" s="219">
        <f>L64/'RAW DATA andamento'!$B$57</f>
        <v>0</v>
      </c>
      <c r="N64" s="218">
        <f>COUNTIFS(N3:N38,"&gt; 102", N3:N38,"&lt; 108")+COUNTIF(N3:N38,"=102")</f>
        <v>0</v>
      </c>
      <c r="O64" s="219">
        <f>N64/'RAW DATA andamento'!$B$57</f>
        <v>0</v>
      </c>
      <c r="P64" s="218">
        <f>COUNTIFS(P3:P38,"&gt; 102", P3:P38,"&lt; 108")+COUNTIF(P3:P38,"=102")</f>
        <v>0</v>
      </c>
      <c r="Q64" s="219">
        <f>P64/'RAW DATA andamento'!$B$57</f>
        <v>0</v>
      </c>
      <c r="R64" s="218">
        <f>COUNTIFS(R3:R38,"&gt; 102", R3:R38,"&lt; 108")+COUNTIF(R3:R38,"=102")</f>
        <v>0</v>
      </c>
      <c r="S64" s="219">
        <f>R64/'RAW DATA andamento'!$B$57</f>
        <v>0</v>
      </c>
      <c r="T64" s="218">
        <f>COUNTIFS(T3:T38,"&gt; 102", T3:T38,"&lt; 108")+COUNTIF(T3:T38,"=102")</f>
        <v>0</v>
      </c>
      <c r="U64" s="219">
        <f>T64/'RAW DATA andamento'!$B$57</f>
        <v>0</v>
      </c>
    </row>
    <row r="66" spans="1:21" ht="15" x14ac:dyDescent="0.25">
      <c r="A66" s="255" t="s">
        <v>390</v>
      </c>
      <c r="B66" s="218">
        <f>COUNTIF('Tutti vs Tutti e Punti contro'!O3:O38,"&lt;66")</f>
        <v>8</v>
      </c>
      <c r="C66" s="219">
        <f>B66/'RAW DATA andamento'!$B$57</f>
        <v>0.22857142857142856</v>
      </c>
      <c r="D66" s="218">
        <f>COUNTIF('Tutti vs Tutti e Punti contro'!P3:P38,"&lt;66")</f>
        <v>2</v>
      </c>
      <c r="E66" s="219">
        <f>D66/'RAW DATA andamento'!$B$57</f>
        <v>5.7142857142857141E-2</v>
      </c>
      <c r="F66" s="218">
        <f>COUNTIF('Tutti vs Tutti e Punti contro'!Q3:Q38,"&lt;66")</f>
        <v>6</v>
      </c>
      <c r="G66" s="219">
        <f>F66/'RAW DATA andamento'!$B$57</f>
        <v>0.17142857142857143</v>
      </c>
      <c r="H66" s="218">
        <f>COUNTIF('Tutti vs Tutti e Punti contro'!R3:R38,"&lt;66")</f>
        <v>5</v>
      </c>
      <c r="I66" s="219">
        <f>H66/'RAW DATA andamento'!$B$57</f>
        <v>0.14285714285714285</v>
      </c>
      <c r="J66" s="218">
        <f>COUNTIF('Tutti vs Tutti e Punti contro'!S3:S38,"&lt;66")</f>
        <v>3</v>
      </c>
      <c r="K66" s="219">
        <f>J66/'RAW DATA andamento'!$B$57</f>
        <v>8.5714285714285715E-2</v>
      </c>
      <c r="L66" s="218">
        <f>COUNTIF('Tutti vs Tutti e Punti contro'!T3:T38,"&lt;66")</f>
        <v>6</v>
      </c>
      <c r="M66" s="219">
        <f>L66/'RAW DATA andamento'!$B$57</f>
        <v>0.17142857142857143</v>
      </c>
      <c r="N66" s="218">
        <f>COUNTIF('Tutti vs Tutti e Punti contro'!U3:U38,"&lt;66")</f>
        <v>1</v>
      </c>
      <c r="O66" s="219">
        <f>N66/'RAW DATA andamento'!$B$57</f>
        <v>2.8571428571428571E-2</v>
      </c>
      <c r="P66" s="218">
        <f>COUNTIF('Tutti vs Tutti e Punti contro'!V3:V38,"&lt;66")</f>
        <v>1</v>
      </c>
      <c r="Q66" s="219">
        <f>P66/'RAW DATA andamento'!$B$57</f>
        <v>2.8571428571428571E-2</v>
      </c>
      <c r="R66" s="218">
        <f>COUNTIF('Tutti vs Tutti e Punti contro'!W3:W38,"&lt;66")</f>
        <v>4</v>
      </c>
      <c r="S66" s="219">
        <f>R66/'RAW DATA andamento'!$B$57</f>
        <v>0.11428571428571428</v>
      </c>
      <c r="T66" s="218">
        <f>COUNTIF('Tutti vs Tutti e Punti contro'!X3:X38,"&lt;66")</f>
        <v>7</v>
      </c>
      <c r="U66" s="219">
        <f>T66/'RAW DATA andamento'!$B$57</f>
        <v>0.2</v>
      </c>
    </row>
    <row r="67" spans="1:21" ht="15" x14ac:dyDescent="0.25">
      <c r="A67" s="255" t="s">
        <v>391</v>
      </c>
      <c r="B67" s="218">
        <f>COUNTIFS('Tutti vs Tutti e Punti contro'!O3:O38,"&gt; 66", 'Tutti vs Tutti e Punti contro'!O3:O38,"&lt; 72")+COUNTIF('Tutti vs Tutti e Punti contro'!O3:O38,"=66")</f>
        <v>4</v>
      </c>
      <c r="C67" s="219">
        <f>B67/'RAW DATA andamento'!$B$57</f>
        <v>0.11428571428571428</v>
      </c>
      <c r="D67" s="218">
        <f>COUNTIFS('Tutti vs Tutti e Punti contro'!P3:P38,"&gt; 66", 'Tutti vs Tutti e Punti contro'!P3:P38,"&lt; 72")+COUNTIF('Tutti vs Tutti e Punti contro'!P3:P38,"=66")</f>
        <v>14</v>
      </c>
      <c r="E67" s="219">
        <f>D67/'RAW DATA andamento'!$B$57</f>
        <v>0.4</v>
      </c>
      <c r="F67" s="218">
        <f>COUNTIFS('Tutti vs Tutti e Punti contro'!Q3:Q38,"&gt; 66", 'Tutti vs Tutti e Punti contro'!Q3:Q38,"&lt; 72")+COUNTIF('Tutti vs Tutti e Punti contro'!Q3:Q38,"=66")</f>
        <v>12</v>
      </c>
      <c r="G67" s="219">
        <f>F67/'RAW DATA andamento'!$B$57</f>
        <v>0.34285714285714286</v>
      </c>
      <c r="H67" s="218">
        <f>COUNTIFS('Tutti vs Tutti e Punti contro'!R3:R38,"&gt; 66", 'Tutti vs Tutti e Punti contro'!R3:R38,"&lt; 72")+COUNTIF('Tutti vs Tutti e Punti contro'!R3:R38,"=66")</f>
        <v>10</v>
      </c>
      <c r="I67" s="219">
        <f>H67/'RAW DATA andamento'!$B$57</f>
        <v>0.2857142857142857</v>
      </c>
      <c r="J67" s="218">
        <f>COUNTIFS('Tutti vs Tutti e Punti contro'!S3:S38,"&gt; 66", 'Tutti vs Tutti e Punti contro'!S3:S38,"&lt; 72")+COUNTIF('Tutti vs Tutti e Punti contro'!S3:S38,"=66")</f>
        <v>13</v>
      </c>
      <c r="K67" s="219">
        <f>J67/'RAW DATA andamento'!$B$57</f>
        <v>0.37142857142857144</v>
      </c>
      <c r="L67" s="218">
        <f>COUNTIFS('Tutti vs Tutti e Punti contro'!T3:T38,"&gt; 66", 'Tutti vs Tutti e Punti contro'!T3:T38,"&lt; 72")+COUNTIF('Tutti vs Tutti e Punti contro'!T3:T38,"=66")</f>
        <v>4</v>
      </c>
      <c r="M67" s="219">
        <f>L67/'RAW DATA andamento'!$B$57</f>
        <v>0.11428571428571428</v>
      </c>
      <c r="N67" s="218">
        <f>COUNTIFS('Tutti vs Tutti e Punti contro'!U3:U38,"&gt; 66", 'Tutti vs Tutti e Punti contro'!U3:U38,"&lt; 72")+COUNTIF('Tutti vs Tutti e Punti contro'!U3:U38,"=66")</f>
        <v>14</v>
      </c>
      <c r="O67" s="219">
        <f>N67/'RAW DATA andamento'!$B$57</f>
        <v>0.4</v>
      </c>
      <c r="P67" s="218">
        <f>COUNTIFS('Tutti vs Tutti e Punti contro'!V3:V38,"&gt; 66", 'Tutti vs Tutti e Punti contro'!V3:V38,"&lt; 72")+COUNTIF('Tutti vs Tutti e Punti contro'!V3:V38,"=66")</f>
        <v>7</v>
      </c>
      <c r="Q67" s="219">
        <f>P67/'RAW DATA andamento'!$B$57</f>
        <v>0.2</v>
      </c>
      <c r="R67" s="218">
        <f>COUNTIFS('Tutti vs Tutti e Punti contro'!W3:W38,"&gt; 66", 'Tutti vs Tutti e Punti contro'!W3:W38,"&lt; 72")+COUNTIF('Tutti vs Tutti e Punti contro'!W3:W38,"=66")</f>
        <v>8</v>
      </c>
      <c r="S67" s="219">
        <f>R67/'RAW DATA andamento'!$B$57</f>
        <v>0.22857142857142856</v>
      </c>
      <c r="T67" s="218">
        <f>COUNTIFS('Tutti vs Tutti e Punti contro'!X3:X38,"&gt; 66", 'Tutti vs Tutti e Punti contro'!X3:X38,"&lt; 72")+COUNTIF('Tutti vs Tutti e Punti contro'!X3:X38,"=66")</f>
        <v>10</v>
      </c>
      <c r="U67" s="219">
        <f>T67/'RAW DATA andamento'!$B$57</f>
        <v>0.2857142857142857</v>
      </c>
    </row>
    <row r="68" spans="1:21" ht="15" x14ac:dyDescent="0.25">
      <c r="A68" s="255" t="s">
        <v>392</v>
      </c>
      <c r="B68" s="218">
        <f>COUNTIFS('Tutti vs Tutti e Punti contro'!O3:O38,"&gt; 72", 'Tutti vs Tutti e Punti contro'!O3:O38,"&lt; 78")+COUNTIF('Tutti vs Tutti e Punti contro'!O3:O38,"=72")</f>
        <v>16</v>
      </c>
      <c r="C68" s="219">
        <f>B68/'RAW DATA andamento'!$B$57</f>
        <v>0.45714285714285713</v>
      </c>
      <c r="D68" s="218">
        <f>COUNTIFS('Tutti vs Tutti e Punti contro'!P3:P38,"&gt; 72", 'Tutti vs Tutti e Punti contro'!P3:P38,"&lt; 78")+COUNTIF('Tutti vs Tutti e Punti contro'!P3:P38,"=72")</f>
        <v>14</v>
      </c>
      <c r="E68" s="219">
        <f>D68/'RAW DATA andamento'!$B$57</f>
        <v>0.4</v>
      </c>
      <c r="F68" s="218">
        <f>COUNTIFS('Tutti vs Tutti e Punti contro'!Q3:Q38,"&gt; 72", 'Tutti vs Tutti e Punti contro'!Q3:Q38,"&lt; 78")+COUNTIF('Tutti vs Tutti e Punti contro'!Q3:Q38,"=72")</f>
        <v>9</v>
      </c>
      <c r="G68" s="219">
        <f>F68/'RAW DATA andamento'!$B$57</f>
        <v>0.25714285714285712</v>
      </c>
      <c r="H68" s="218">
        <f>COUNTIFS('Tutti vs Tutti e Punti contro'!R3:R38,"&gt; 72", 'Tutti vs Tutti e Punti contro'!R3:R38,"&lt; 78")+COUNTIF('Tutti vs Tutti e Punti contro'!R3:R38,"=72")</f>
        <v>10</v>
      </c>
      <c r="I68" s="219">
        <f>H68/'RAW DATA andamento'!$B$57</f>
        <v>0.2857142857142857</v>
      </c>
      <c r="J68" s="218">
        <f>COUNTIFS('Tutti vs Tutti e Punti contro'!S3:S38,"&gt; 72", 'Tutti vs Tutti e Punti contro'!S3:S38,"&lt; 78")+COUNTIF('Tutti vs Tutti e Punti contro'!S3:S38,"=72")</f>
        <v>7</v>
      </c>
      <c r="K68" s="219">
        <f>J68/'RAW DATA andamento'!$B$57</f>
        <v>0.2</v>
      </c>
      <c r="L68" s="218">
        <f>COUNTIFS('Tutti vs Tutti e Punti contro'!T3:T38,"&gt; 72", 'Tutti vs Tutti e Punti contro'!T3:T38,"&lt; 78")+COUNTIF('Tutti vs Tutti e Punti contro'!T3:T38,"=72")</f>
        <v>14</v>
      </c>
      <c r="M68" s="219">
        <f>L68/'RAW DATA andamento'!$B$57</f>
        <v>0.4</v>
      </c>
      <c r="N68" s="218">
        <f>COUNTIFS('Tutti vs Tutti e Punti contro'!U3:U38,"&gt; 72", 'Tutti vs Tutti e Punti contro'!U3:U38,"&lt; 78")+COUNTIF('Tutti vs Tutti e Punti contro'!U3:U38,"=72")</f>
        <v>10</v>
      </c>
      <c r="O68" s="219">
        <f>N68/'RAW DATA andamento'!$B$57</f>
        <v>0.2857142857142857</v>
      </c>
      <c r="P68" s="218">
        <f>COUNTIFS('Tutti vs Tutti e Punti contro'!V3:V38,"&gt; 72", 'Tutti vs Tutti e Punti contro'!V3:V38,"&lt; 78")+COUNTIF('Tutti vs Tutti e Punti contro'!V3:V38,"=72")</f>
        <v>13</v>
      </c>
      <c r="Q68" s="219">
        <f>P68/'RAW DATA andamento'!$B$57</f>
        <v>0.37142857142857144</v>
      </c>
      <c r="R68" s="218">
        <f>COUNTIFS('Tutti vs Tutti e Punti contro'!W3:W38,"&gt; 72", 'Tutti vs Tutti e Punti contro'!W3:W38,"&lt; 78")+COUNTIF('Tutti vs Tutti e Punti contro'!W3:W38,"=72")</f>
        <v>12</v>
      </c>
      <c r="S68" s="219">
        <f>R68/'RAW DATA andamento'!$B$57</f>
        <v>0.34285714285714286</v>
      </c>
      <c r="T68" s="218">
        <f>COUNTIFS('Tutti vs Tutti e Punti contro'!X3:X38,"&gt; 72", 'Tutti vs Tutti e Punti contro'!X3:X38,"&lt; 78")+COUNTIF('Tutti vs Tutti e Punti contro'!X3:X38,"=72")</f>
        <v>9</v>
      </c>
      <c r="U68" s="219">
        <f>T68/'RAW DATA andamento'!$B$57</f>
        <v>0.25714285714285712</v>
      </c>
    </row>
    <row r="69" spans="1:21" ht="15" x14ac:dyDescent="0.25">
      <c r="A69" s="255" t="s">
        <v>393</v>
      </c>
      <c r="B69" s="218">
        <f>COUNTIFS('Tutti vs Tutti e Punti contro'!O3:O38,"&gt; 78", 'Tutti vs Tutti e Punti contro'!O3:O38,"&lt; 84")+COUNTIF('Tutti vs Tutti e Punti contro'!O3:O38,"=78")</f>
        <v>7</v>
      </c>
      <c r="C69" s="219">
        <f>B69/'RAW DATA andamento'!$B$57</f>
        <v>0.2</v>
      </c>
      <c r="D69" s="218">
        <f>COUNTIFS('Tutti vs Tutti e Punti contro'!P3:P38,"&gt; 78", 'Tutti vs Tutti e Punti contro'!P3:P38,"&lt; 84")+COUNTIF('Tutti vs Tutti e Punti contro'!P3:P38,"=78")</f>
        <v>3</v>
      </c>
      <c r="E69" s="219">
        <f>D69/'RAW DATA andamento'!$B$57</f>
        <v>8.5714285714285715E-2</v>
      </c>
      <c r="F69" s="218">
        <f>COUNTIFS('Tutti vs Tutti e Punti contro'!Q3:Q38,"&gt; 78", 'Tutti vs Tutti e Punti contro'!Q3:Q38,"&lt; 84")+COUNTIF('Tutti vs Tutti e Punti contro'!Q3:Q38,"=78")</f>
        <v>4</v>
      </c>
      <c r="G69" s="219">
        <f>F69/'RAW DATA andamento'!$B$57</f>
        <v>0.11428571428571428</v>
      </c>
      <c r="H69" s="218">
        <f>COUNTIFS('Tutti vs Tutti e Punti contro'!R3:R38,"&gt; 78", 'Tutti vs Tutti e Punti contro'!R3:R38,"&lt; 84")+COUNTIF('Tutti vs Tutti e Punti contro'!R3:R38,"=78")</f>
        <v>7</v>
      </c>
      <c r="I69" s="219">
        <f>H69/'RAW DATA andamento'!$B$57</f>
        <v>0.2</v>
      </c>
      <c r="J69" s="218">
        <f>COUNTIFS('Tutti vs Tutti e Punti contro'!S3:S38,"&gt; 78", 'Tutti vs Tutti e Punti contro'!S3:S38,"&lt; 84")+COUNTIF('Tutti vs Tutti e Punti contro'!S3:S38,"=78")</f>
        <v>5</v>
      </c>
      <c r="K69" s="219">
        <f>J69/'RAW DATA andamento'!$B$57</f>
        <v>0.14285714285714285</v>
      </c>
      <c r="L69" s="218">
        <f>COUNTIFS('Tutti vs Tutti e Punti contro'!T3:T38,"&gt; 78", 'Tutti vs Tutti e Punti contro'!T3:T38,"&lt; 84")+COUNTIF('Tutti vs Tutti e Punti contro'!T3:T38,"=78")</f>
        <v>7</v>
      </c>
      <c r="M69" s="219">
        <f>L69/'RAW DATA andamento'!$B$57</f>
        <v>0.2</v>
      </c>
      <c r="N69" s="218">
        <f>COUNTIFS('Tutti vs Tutti e Punti contro'!U3:U38,"&gt; 78", 'Tutti vs Tutti e Punti contro'!U3:U38,"&lt; 84")+COUNTIF('Tutti vs Tutti e Punti contro'!U3:U38,"=78")</f>
        <v>9</v>
      </c>
      <c r="O69" s="219">
        <f>N69/'RAW DATA andamento'!$B$57</f>
        <v>0.25714285714285712</v>
      </c>
      <c r="P69" s="218">
        <f>COUNTIFS('Tutti vs Tutti e Punti contro'!V3:V38,"&gt; 78", 'Tutti vs Tutti e Punti contro'!V3:V38,"&lt; 84")+COUNTIF('Tutti vs Tutti e Punti contro'!V3:V38,"=78")</f>
        <v>12</v>
      </c>
      <c r="Q69" s="219">
        <f>P69/'RAW DATA andamento'!$B$57</f>
        <v>0.34285714285714286</v>
      </c>
      <c r="R69" s="218">
        <f>COUNTIFS('Tutti vs Tutti e Punti contro'!W3:W38,"&gt; 78", 'Tutti vs Tutti e Punti contro'!W3:W38,"&lt; 84")+COUNTIF('Tutti vs Tutti e Punti contro'!W3:W38,"=78")</f>
        <v>8</v>
      </c>
      <c r="S69" s="219">
        <f>R69/'RAW DATA andamento'!$B$57</f>
        <v>0.22857142857142856</v>
      </c>
      <c r="T69" s="218">
        <f>COUNTIFS('Tutti vs Tutti e Punti contro'!X3:X38,"&gt; 78", 'Tutti vs Tutti e Punti contro'!X3:X38,"&lt; 84")+COUNTIF('Tutti vs Tutti e Punti contro'!X3:X38,"=78")</f>
        <v>7</v>
      </c>
      <c r="U69" s="219">
        <f>T69/'RAW DATA andamento'!$B$57</f>
        <v>0.2</v>
      </c>
    </row>
    <row r="70" spans="1:21" ht="15" x14ac:dyDescent="0.25">
      <c r="A70" s="255" t="s">
        <v>394</v>
      </c>
      <c r="B70" s="218">
        <f>COUNTIFS('Tutti vs Tutti e Punti contro'!O3:O38,"&gt; 84", 'Tutti vs Tutti e Punti contro'!O3:O38,"&lt; 90")+COUNTIF('Tutti vs Tutti e Punti contro'!O3:O38,"=84")</f>
        <v>0</v>
      </c>
      <c r="C70" s="219">
        <f>B70/'RAW DATA andamento'!$B$57</f>
        <v>0</v>
      </c>
      <c r="D70" s="218">
        <f>COUNTIFS('Tutti vs Tutti e Punti contro'!P3:P38,"&gt; 84", 'Tutti vs Tutti e Punti contro'!P3:P38,"&lt; 90")+COUNTIF('Tutti vs Tutti e Punti contro'!P3:P38,"=84")</f>
        <v>2</v>
      </c>
      <c r="E70" s="219">
        <f>D70/'RAW DATA andamento'!$B$57</f>
        <v>5.7142857142857141E-2</v>
      </c>
      <c r="F70" s="218">
        <f>COUNTIFS('Tutti vs Tutti e Punti contro'!Q3:Q38,"&gt; 84", 'Tutti vs Tutti e Punti contro'!Q3:Q38,"&lt; 90")+COUNTIF('Tutti vs Tutti e Punti contro'!Q3:Q38,"=84")</f>
        <v>4</v>
      </c>
      <c r="G70" s="219">
        <f>F70/'RAW DATA andamento'!$B$57</f>
        <v>0.11428571428571428</v>
      </c>
      <c r="H70" s="218">
        <f>COUNTIFS('Tutti vs Tutti e Punti contro'!R3:R38,"&gt; 84", 'Tutti vs Tutti e Punti contro'!R3:R38,"&lt; 90")+COUNTIF('Tutti vs Tutti e Punti contro'!R3:R38,"=84")</f>
        <v>3</v>
      </c>
      <c r="I70" s="219">
        <f>H70/'RAW DATA andamento'!$B$57</f>
        <v>8.5714285714285715E-2</v>
      </c>
      <c r="J70" s="218">
        <f>COUNTIFS('Tutti vs Tutti e Punti contro'!S3:S38,"&gt; 84", 'Tutti vs Tutti e Punti contro'!S3:S38,"&lt; 90")+COUNTIF('Tutti vs Tutti e Punti contro'!S3:S38,"=84")</f>
        <v>4</v>
      </c>
      <c r="K70" s="219">
        <f>J70/'RAW DATA andamento'!$B$57</f>
        <v>0.11428571428571428</v>
      </c>
      <c r="L70" s="218">
        <f>COUNTIFS('Tutti vs Tutti e Punti contro'!T3:T38,"&gt; 84", 'Tutti vs Tutti e Punti contro'!T3:T38,"&lt; 90")+COUNTIF('Tutti vs Tutti e Punti contro'!T3:T38,"=84")</f>
        <v>3</v>
      </c>
      <c r="M70" s="219">
        <f>L70/'RAW DATA andamento'!$B$57</f>
        <v>8.5714285714285715E-2</v>
      </c>
      <c r="N70" s="218">
        <f>COUNTIFS('Tutti vs Tutti e Punti contro'!U3:U38,"&gt; 84", 'Tutti vs Tutti e Punti contro'!U3:U38,"&lt; 90")+COUNTIF('Tutti vs Tutti e Punti contro'!U3:U38,"=84")</f>
        <v>1</v>
      </c>
      <c r="O70" s="219">
        <f>N70/'RAW DATA andamento'!$B$57</f>
        <v>2.8571428571428571E-2</v>
      </c>
      <c r="P70" s="218">
        <f>COUNTIFS('Tutti vs Tutti e Punti contro'!V3:V38,"&gt; 84", 'Tutti vs Tutti e Punti contro'!V3:V38,"&lt; 90")+COUNTIF('Tutti vs Tutti e Punti contro'!V3:V38,"=84")</f>
        <v>2</v>
      </c>
      <c r="Q70" s="219">
        <f>P70/'RAW DATA andamento'!$B$57</f>
        <v>5.7142857142857141E-2</v>
      </c>
      <c r="R70" s="218">
        <f>COUNTIFS('Tutti vs Tutti e Punti contro'!W3:W38,"&gt; 84", 'Tutti vs Tutti e Punti contro'!W3:W38,"&lt; 90")+COUNTIF('Tutti vs Tutti e Punti contro'!W3:W38,"=84")</f>
        <v>3</v>
      </c>
      <c r="S70" s="219">
        <f>R70/'RAW DATA andamento'!$B$57</f>
        <v>8.5714285714285715E-2</v>
      </c>
      <c r="T70" s="218">
        <f>COUNTIFS('Tutti vs Tutti e Punti contro'!X3:X38,"&gt; 84", 'Tutti vs Tutti e Punti contro'!X3:X38,"&lt; 90")+COUNTIF('Tutti vs Tutti e Punti contro'!X3:X38,"=84")</f>
        <v>1</v>
      </c>
      <c r="U70" s="219">
        <f>T70/'RAW DATA andamento'!$B$57</f>
        <v>2.8571428571428571E-2</v>
      </c>
    </row>
    <row r="71" spans="1:21" ht="15" x14ac:dyDescent="0.25">
      <c r="A71" s="255" t="s">
        <v>395</v>
      </c>
      <c r="B71" s="218">
        <f>COUNTIFS('Tutti vs Tutti e Punti contro'!O3:O38,"&gt; 90", 'Tutti vs Tutti e Punti contro'!O3:O38,"&lt; 96")+COUNTIF('Tutti vs Tutti e Punti contro'!O3:O38,"=90")</f>
        <v>0</v>
      </c>
      <c r="C71" s="219">
        <f>B71/'RAW DATA andamento'!$B$57</f>
        <v>0</v>
      </c>
      <c r="D71" s="218">
        <f>COUNTIFS('Tutti vs Tutti e Punti contro'!P3:P38,"&gt; 90", 'Tutti vs Tutti e Punti contro'!P3:P38,"&lt; 96")+COUNTIF('Tutti vs Tutti e Punti contro'!P3:P38,"=90")</f>
        <v>0</v>
      </c>
      <c r="E71" s="219">
        <f>D71/'RAW DATA andamento'!$B$57</f>
        <v>0</v>
      </c>
      <c r="F71" s="218">
        <f>COUNTIFS('Tutti vs Tutti e Punti contro'!Q3:Q38,"&gt; 90", 'Tutti vs Tutti e Punti contro'!Q3:Q38,"&lt; 96")+COUNTIF('Tutti vs Tutti e Punti contro'!Q3:Q38,"=90")</f>
        <v>0</v>
      </c>
      <c r="G71" s="219">
        <f>F71/'RAW DATA andamento'!$B$57</f>
        <v>0</v>
      </c>
      <c r="H71" s="218">
        <f>COUNTIFS('Tutti vs Tutti e Punti contro'!R3:R38,"&gt; 90", 'Tutti vs Tutti e Punti contro'!R3:R38,"&lt; 96")+COUNTIF('Tutti vs Tutti e Punti contro'!R3:R38,"=90")</f>
        <v>0</v>
      </c>
      <c r="I71" s="219">
        <f>H71/'RAW DATA andamento'!$B$57</f>
        <v>0</v>
      </c>
      <c r="J71" s="218">
        <f>COUNTIFS('Tutti vs Tutti e Punti contro'!S3:S38,"&gt; 90", 'Tutti vs Tutti e Punti contro'!S3:S38,"&lt; 96")+COUNTIF('Tutti vs Tutti e Punti contro'!S3:S38,"=90")</f>
        <v>3</v>
      </c>
      <c r="K71" s="219">
        <f>J71/'RAW DATA andamento'!$B$57</f>
        <v>8.5714285714285715E-2</v>
      </c>
      <c r="L71" s="218">
        <f>COUNTIFS('Tutti vs Tutti e Punti contro'!T3:T38,"&gt; 90", 'Tutti vs Tutti e Punti contro'!T3:T38,"&lt; 96")+COUNTIF('Tutti vs Tutti e Punti contro'!T3:T38,"=90")</f>
        <v>1</v>
      </c>
      <c r="M71" s="219">
        <f>L71/'RAW DATA andamento'!$B$57</f>
        <v>2.8571428571428571E-2</v>
      </c>
      <c r="N71" s="218">
        <f>COUNTIFS('Tutti vs Tutti e Punti contro'!U3:U38,"&gt; 90", 'Tutti vs Tutti e Punti contro'!U3:U38,"&lt; 96")+COUNTIF('Tutti vs Tutti e Punti contro'!U3:U38,"=90")</f>
        <v>0</v>
      </c>
      <c r="O71" s="219">
        <f>N71/'RAW DATA andamento'!$B$57</f>
        <v>0</v>
      </c>
      <c r="P71" s="218">
        <f>COUNTIFS('Tutti vs Tutti e Punti contro'!V3:V38,"&gt; 90", 'Tutti vs Tutti e Punti contro'!V3:V38,"&lt; 96")+COUNTIF('Tutti vs Tutti e Punti contro'!V3:V38,"=90")</f>
        <v>0</v>
      </c>
      <c r="Q71" s="219">
        <f>P71/'RAW DATA andamento'!$B$57</f>
        <v>0</v>
      </c>
      <c r="R71" s="218">
        <f>COUNTIFS('Tutti vs Tutti e Punti contro'!W3:W38,"&gt; 90", 'Tutti vs Tutti e Punti contro'!W3:W38,"&lt; 96")+COUNTIF('Tutti vs Tutti e Punti contro'!W3:W38,"=90")</f>
        <v>0</v>
      </c>
      <c r="S71" s="219">
        <f>R71/'RAW DATA andamento'!$B$57</f>
        <v>0</v>
      </c>
      <c r="T71" s="218">
        <f>COUNTIFS('Tutti vs Tutti e Punti contro'!X3:X38,"&gt; 90", 'Tutti vs Tutti e Punti contro'!X3:X38,"&lt; 96")+COUNTIF('Tutti vs Tutti e Punti contro'!X3:X38,"=90")</f>
        <v>1</v>
      </c>
      <c r="U71" s="219">
        <f>T71/'RAW DATA andamento'!$B$57</f>
        <v>2.8571428571428571E-2</v>
      </c>
    </row>
    <row r="72" spans="1:21" ht="15" x14ac:dyDescent="0.25">
      <c r="A72" s="255" t="s">
        <v>396</v>
      </c>
      <c r="B72" s="218">
        <f>COUNTIFS('Tutti vs Tutti e Punti contro'!O3:O38,"&gt; 96", 'Tutti vs Tutti e Punti contro'!O3:O38,"&lt; 102")+COUNTIF('Tutti vs Tutti e Punti contro'!O3:O38,"=96")</f>
        <v>0</v>
      </c>
      <c r="C72" s="219">
        <f>B72/'RAW DATA andamento'!$B$57</f>
        <v>0</v>
      </c>
      <c r="D72" s="218">
        <f>COUNTIFS('Tutti vs Tutti e Punti contro'!P3:P38,"&gt; 96", 'Tutti vs Tutti e Punti contro'!P3:P38,"&lt; 102")+COUNTIF('Tutti vs Tutti e Punti contro'!P3:P38,"=96")</f>
        <v>0</v>
      </c>
      <c r="E72" s="219">
        <f>D72/'RAW DATA andamento'!$B$57</f>
        <v>0</v>
      </c>
      <c r="F72" s="218">
        <f>COUNTIFS('Tutti vs Tutti e Punti contro'!Q3:Q38,"&gt; 96", 'Tutti vs Tutti e Punti contro'!Q3:Q38,"&lt; 102")+COUNTIF('Tutti vs Tutti e Punti contro'!Q3:Q38,"=96")</f>
        <v>0</v>
      </c>
      <c r="G72" s="219">
        <f>F72/'RAW DATA andamento'!$B$57</f>
        <v>0</v>
      </c>
      <c r="H72" s="218">
        <f>COUNTIFS('Tutti vs Tutti e Punti contro'!R3:R38,"&gt; 96", 'Tutti vs Tutti e Punti contro'!R3:R38,"&lt; 102")+COUNTIF('Tutti vs Tutti e Punti contro'!R3:R38,"=96")</f>
        <v>0</v>
      </c>
      <c r="I72" s="219">
        <f>H72/'RAW DATA andamento'!$B$57</f>
        <v>0</v>
      </c>
      <c r="J72" s="218">
        <f>COUNTIFS('Tutti vs Tutti e Punti contro'!S3:S38,"&gt; 96", 'Tutti vs Tutti e Punti contro'!S3:S38,"&lt; 102")+COUNTIF('Tutti vs Tutti e Punti contro'!S3:S38,"=96")</f>
        <v>0</v>
      </c>
      <c r="K72" s="219">
        <f>J72/'RAW DATA andamento'!$B$57</f>
        <v>0</v>
      </c>
      <c r="L72" s="218">
        <f>COUNTIFS('Tutti vs Tutti e Punti contro'!T3:T38,"&gt; 96", 'Tutti vs Tutti e Punti contro'!T3:T38,"&lt; 102")+COUNTIF('Tutti vs Tutti e Punti contro'!T3:T38,"=96")</f>
        <v>0</v>
      </c>
      <c r="M72" s="219">
        <f>L72/'RAW DATA andamento'!$B$57</f>
        <v>0</v>
      </c>
      <c r="N72" s="218">
        <f>COUNTIFS('Tutti vs Tutti e Punti contro'!U3:U38,"&gt; 96", 'Tutti vs Tutti e Punti contro'!U3:U38,"&lt; 102")+COUNTIF('Tutti vs Tutti e Punti contro'!U3:U38,"=96")</f>
        <v>0</v>
      </c>
      <c r="O72" s="219">
        <f>N72/'RAW DATA andamento'!$B$57</f>
        <v>0</v>
      </c>
      <c r="P72" s="218">
        <f>COUNTIFS('Tutti vs Tutti e Punti contro'!V3:V38,"&gt; 96", 'Tutti vs Tutti e Punti contro'!V3:V38,"&lt; 102")+COUNTIF('Tutti vs Tutti e Punti contro'!V3:V38,"=96")</f>
        <v>0</v>
      </c>
      <c r="Q72" s="219">
        <f>P72/'RAW DATA andamento'!$B$57</f>
        <v>0</v>
      </c>
      <c r="R72" s="218">
        <f>COUNTIFS('Tutti vs Tutti e Punti contro'!W3:W38,"&gt; 96", 'Tutti vs Tutti e Punti contro'!W3:W38,"&lt; 102")+COUNTIF('Tutti vs Tutti e Punti contro'!W3:W38,"=96")</f>
        <v>0</v>
      </c>
      <c r="S72" s="219">
        <f>R72/'RAW DATA andamento'!$B$57</f>
        <v>0</v>
      </c>
      <c r="T72" s="218">
        <f>COUNTIFS('Tutti vs Tutti e Punti contro'!X3:X38,"&gt; 96", 'Tutti vs Tutti e Punti contro'!X3:X38,"&lt; 102")+COUNTIF('Tutti vs Tutti e Punti contro'!X3:X38,"=96")</f>
        <v>0</v>
      </c>
      <c r="U72" s="219">
        <f>T72/'RAW DATA andamento'!$B$57</f>
        <v>0</v>
      </c>
    </row>
    <row r="73" spans="1:21" ht="15" x14ac:dyDescent="0.25">
      <c r="A73" s="255" t="s">
        <v>397</v>
      </c>
      <c r="B73" s="218">
        <f>COUNTIFS('Tutti vs Tutti e Punti contro'!O3:O38,"&gt; 102", 'Tutti vs Tutti e Punti contro'!O3:O38,"&lt; 108")+COUNTIF('Tutti vs Tutti e Punti contro'!O3:O38,"=102")</f>
        <v>0</v>
      </c>
      <c r="C73" s="219">
        <f>B73/'RAW DATA andamento'!$B$57</f>
        <v>0</v>
      </c>
      <c r="D73" s="218">
        <f>COUNTIFS('Tutti vs Tutti e Punti contro'!P3:P38,"&gt; 102", 'Tutti vs Tutti e Punti contro'!P3:P38,"&lt; 108")+COUNTIF('Tutti vs Tutti e Punti contro'!P3:P38,"=102")</f>
        <v>0</v>
      </c>
      <c r="E73" s="219">
        <f>D73/'RAW DATA andamento'!$B$57</f>
        <v>0</v>
      </c>
      <c r="F73" s="218">
        <f>COUNTIFS('Tutti vs Tutti e Punti contro'!Q3:Q38,"&gt; 102", 'Tutti vs Tutti e Punti contro'!Q3:Q38,"&lt; 108")+COUNTIF('Tutti vs Tutti e Punti contro'!Q3:Q38,"=102")</f>
        <v>0</v>
      </c>
      <c r="G73" s="219">
        <f>F73/'RAW DATA andamento'!$B$57</f>
        <v>0</v>
      </c>
      <c r="H73" s="218">
        <f>COUNTIFS('Tutti vs Tutti e Punti contro'!R3:R38,"&gt; 102", 'Tutti vs Tutti e Punti contro'!R3:R38,"&lt; 108")+COUNTIF('Tutti vs Tutti e Punti contro'!R3:R38,"=102")</f>
        <v>0</v>
      </c>
      <c r="I73" s="219">
        <f>H73/'RAW DATA andamento'!$B$57</f>
        <v>0</v>
      </c>
      <c r="J73" s="218">
        <f>COUNTIFS('Tutti vs Tutti e Punti contro'!S3:S38,"&gt; 102", 'Tutti vs Tutti e Punti contro'!S3:S38,"&lt; 108")+COUNTIF('Tutti vs Tutti e Punti contro'!S3:S38,"=102")</f>
        <v>0</v>
      </c>
      <c r="K73" s="219">
        <f>J73/'RAW DATA andamento'!$B$57</f>
        <v>0</v>
      </c>
      <c r="L73" s="218">
        <f>COUNTIFS('Tutti vs Tutti e Punti contro'!T3:T38,"&gt; 102", 'Tutti vs Tutti e Punti contro'!T3:T38,"&lt; 108")+COUNTIF('Tutti vs Tutti e Punti contro'!T3:T38,"=102")</f>
        <v>0</v>
      </c>
      <c r="M73" s="219">
        <f>L73/'RAW DATA andamento'!$B$57</f>
        <v>0</v>
      </c>
      <c r="N73" s="218">
        <f>COUNTIFS('Tutti vs Tutti e Punti contro'!U3:U38,"&gt; 102", 'Tutti vs Tutti e Punti contro'!U3:U38,"&lt; 108")+COUNTIF('Tutti vs Tutti e Punti contro'!U3:U38,"=102")</f>
        <v>0</v>
      </c>
      <c r="O73" s="219">
        <f>N73/'RAW DATA andamento'!$B$57</f>
        <v>0</v>
      </c>
      <c r="P73" s="218">
        <f>COUNTIFS('Tutti vs Tutti e Punti contro'!V3:V38,"&gt; 102", 'Tutti vs Tutti e Punti contro'!V3:V38,"&lt; 108")+COUNTIF('Tutti vs Tutti e Punti contro'!V3:V38,"=102")</f>
        <v>0</v>
      </c>
      <c r="Q73" s="219">
        <f>P73/'RAW DATA andamento'!$B$57</f>
        <v>0</v>
      </c>
      <c r="R73" s="218">
        <f>COUNTIFS('Tutti vs Tutti e Punti contro'!W3:W38,"&gt; 102", 'Tutti vs Tutti e Punti contro'!W3:W38,"&lt; 108")+COUNTIF('Tutti vs Tutti e Punti contro'!W3:W38,"=102")</f>
        <v>0</v>
      </c>
      <c r="S73" s="219">
        <f>R73/'RAW DATA andamento'!$B$57</f>
        <v>0</v>
      </c>
      <c r="T73" s="218">
        <f>COUNTIFS('Tutti vs Tutti e Punti contro'!X3:X38,"&gt; 102", 'Tutti vs Tutti e Punti contro'!X3:X38,"&lt; 108")+COUNTIF('Tutti vs Tutti e Punti contro'!X3:X38,"=102")</f>
        <v>0</v>
      </c>
      <c r="U73" s="219">
        <f>T73/'RAW DATA andamento'!$B$57</f>
        <v>0</v>
      </c>
    </row>
    <row r="75" spans="1:21" ht="15" x14ac:dyDescent="0.25">
      <c r="A75" s="217" t="s">
        <v>425</v>
      </c>
      <c r="B75" s="272"/>
    </row>
    <row r="76" spans="1:21" ht="15" x14ac:dyDescent="0.25">
      <c r="A76" s="270" t="s">
        <v>421</v>
      </c>
      <c r="B76" s="400">
        <v>93.5</v>
      </c>
      <c r="C76" s="401"/>
      <c r="D76" s="408">
        <v>98.5</v>
      </c>
      <c r="E76" s="409"/>
      <c r="F76" s="408">
        <v>94.5</v>
      </c>
      <c r="G76" s="409"/>
      <c r="H76" s="408">
        <v>99.5</v>
      </c>
      <c r="I76" s="409"/>
      <c r="J76" s="408">
        <v>100.5</v>
      </c>
      <c r="K76" s="409"/>
      <c r="L76" s="406">
        <v>102</v>
      </c>
      <c r="M76" s="407"/>
      <c r="N76" s="408">
        <v>99.5</v>
      </c>
      <c r="O76" s="409"/>
      <c r="P76" s="408">
        <v>94.5</v>
      </c>
      <c r="Q76" s="409"/>
      <c r="R76" s="408">
        <v>100</v>
      </c>
      <c r="S76" s="409"/>
      <c r="T76" s="406">
        <v>102</v>
      </c>
      <c r="U76" s="407"/>
    </row>
    <row r="77" spans="1:21" ht="15" x14ac:dyDescent="0.25">
      <c r="A77" s="271" t="s">
        <v>422</v>
      </c>
      <c r="B77" s="400">
        <v>5</v>
      </c>
      <c r="C77" s="401"/>
      <c r="D77" s="406">
        <v>9</v>
      </c>
      <c r="E77" s="407"/>
      <c r="F77" s="408">
        <v>6</v>
      </c>
      <c r="G77" s="409"/>
      <c r="H77" s="408">
        <v>6</v>
      </c>
      <c r="I77" s="409"/>
      <c r="J77" s="408">
        <v>5</v>
      </c>
      <c r="K77" s="409"/>
      <c r="L77" s="408">
        <v>6</v>
      </c>
      <c r="M77" s="409"/>
      <c r="N77" s="408">
        <v>6</v>
      </c>
      <c r="O77" s="409"/>
      <c r="P77" s="408">
        <v>7</v>
      </c>
      <c r="Q77" s="409"/>
      <c r="R77" s="408">
        <v>5</v>
      </c>
      <c r="S77" s="409"/>
      <c r="T77" s="408">
        <v>6</v>
      </c>
      <c r="U77" s="409"/>
    </row>
    <row r="78" spans="1:21" ht="15" x14ac:dyDescent="0.25">
      <c r="A78" s="271" t="s">
        <v>423</v>
      </c>
      <c r="B78" s="436">
        <v>9</v>
      </c>
      <c r="C78" s="437"/>
      <c r="D78" s="408">
        <v>12</v>
      </c>
      <c r="E78" s="409"/>
      <c r="F78" s="408">
        <v>13</v>
      </c>
      <c r="G78" s="409"/>
      <c r="H78" s="406">
        <v>15</v>
      </c>
      <c r="I78" s="407"/>
      <c r="J78" s="408">
        <v>8</v>
      </c>
      <c r="K78" s="409"/>
      <c r="L78" s="408">
        <v>7</v>
      </c>
      <c r="M78" s="409"/>
      <c r="N78" s="408">
        <v>8</v>
      </c>
      <c r="O78" s="409"/>
      <c r="P78" s="408">
        <v>10</v>
      </c>
      <c r="Q78" s="409"/>
      <c r="R78" s="408">
        <v>7</v>
      </c>
      <c r="S78" s="409"/>
      <c r="T78" s="408">
        <v>9</v>
      </c>
      <c r="U78" s="409"/>
    </row>
    <row r="79" spans="1:21" ht="15" x14ac:dyDescent="0.25">
      <c r="A79" s="271" t="s">
        <v>424</v>
      </c>
      <c r="B79" s="400">
        <v>4</v>
      </c>
      <c r="C79" s="401"/>
      <c r="D79" s="406">
        <v>6</v>
      </c>
      <c r="E79" s="407"/>
      <c r="F79" s="406">
        <v>6</v>
      </c>
      <c r="G79" s="407"/>
      <c r="H79" s="408">
        <v>5</v>
      </c>
      <c r="I79" s="409"/>
      <c r="J79" s="408">
        <v>5</v>
      </c>
      <c r="K79" s="409"/>
      <c r="L79" s="406">
        <v>6</v>
      </c>
      <c r="M79" s="407"/>
      <c r="N79" s="406">
        <v>6</v>
      </c>
      <c r="O79" s="407"/>
      <c r="P79" s="408">
        <v>5</v>
      </c>
      <c r="Q79" s="409"/>
      <c r="R79" s="408">
        <v>5</v>
      </c>
      <c r="S79" s="409"/>
      <c r="T79" s="408">
        <v>5</v>
      </c>
      <c r="U79" s="409"/>
    </row>
    <row r="80" spans="1:21" ht="15" x14ac:dyDescent="0.25">
      <c r="A80" s="289" t="s">
        <v>426</v>
      </c>
      <c r="B80" s="406">
        <v>13</v>
      </c>
      <c r="C80" s="407"/>
      <c r="D80" s="406">
        <v>13</v>
      </c>
      <c r="E80" s="407"/>
      <c r="F80" s="408">
        <v>11</v>
      </c>
      <c r="G80" s="409"/>
      <c r="H80" s="408">
        <v>8</v>
      </c>
      <c r="I80" s="409"/>
      <c r="J80" s="408">
        <v>8</v>
      </c>
      <c r="K80" s="409"/>
      <c r="L80" s="408">
        <v>7</v>
      </c>
      <c r="M80" s="409"/>
      <c r="N80" s="408">
        <v>11</v>
      </c>
      <c r="O80" s="409"/>
      <c r="P80" s="408">
        <v>12</v>
      </c>
      <c r="Q80" s="409"/>
      <c r="R80" s="408">
        <v>10</v>
      </c>
      <c r="S80" s="409"/>
      <c r="T80" s="408">
        <v>10</v>
      </c>
      <c r="U80" s="409"/>
    </row>
    <row r="81" spans="1:21" ht="15" x14ac:dyDescent="0.2">
      <c r="A81" s="271" t="s">
        <v>427</v>
      </c>
      <c r="B81" s="400">
        <v>18</v>
      </c>
      <c r="C81" s="401"/>
      <c r="D81" s="402">
        <v>20</v>
      </c>
      <c r="E81" s="403"/>
      <c r="F81" s="400">
        <v>16</v>
      </c>
      <c r="G81" s="401"/>
      <c r="H81" s="400">
        <v>16</v>
      </c>
      <c r="I81" s="401"/>
      <c r="J81" s="400">
        <v>18</v>
      </c>
      <c r="K81" s="401"/>
      <c r="L81" s="400">
        <v>16</v>
      </c>
      <c r="M81" s="401"/>
      <c r="N81" s="400">
        <v>17</v>
      </c>
      <c r="O81" s="401"/>
      <c r="P81" s="400">
        <v>17</v>
      </c>
      <c r="Q81" s="401"/>
      <c r="R81" s="400">
        <v>15</v>
      </c>
      <c r="S81" s="401"/>
      <c r="T81" s="400">
        <v>18</v>
      </c>
      <c r="U81" s="401"/>
    </row>
    <row r="82" spans="1:21" ht="15" x14ac:dyDescent="0.2">
      <c r="A82" s="289" t="s">
        <v>428</v>
      </c>
      <c r="B82" s="400">
        <v>7</v>
      </c>
      <c r="C82" s="401"/>
      <c r="D82" s="400">
        <v>7</v>
      </c>
      <c r="E82" s="401"/>
      <c r="F82" s="400">
        <v>9</v>
      </c>
      <c r="G82" s="401"/>
      <c r="H82" s="400">
        <v>9</v>
      </c>
      <c r="I82" s="401"/>
      <c r="J82" s="400">
        <v>9</v>
      </c>
      <c r="K82" s="401"/>
      <c r="L82" s="400">
        <v>9</v>
      </c>
      <c r="M82" s="401"/>
      <c r="N82" s="402">
        <v>5</v>
      </c>
      <c r="O82" s="403"/>
      <c r="P82" s="402">
        <v>5</v>
      </c>
      <c r="Q82" s="403"/>
      <c r="R82" s="400">
        <v>9</v>
      </c>
      <c r="S82" s="401"/>
      <c r="T82" s="402">
        <v>5</v>
      </c>
      <c r="U82" s="403"/>
    </row>
    <row r="83" spans="1:21" ht="15" x14ac:dyDescent="0.2">
      <c r="A83" s="289" t="s">
        <v>429</v>
      </c>
      <c r="B83" s="400">
        <v>15</v>
      </c>
      <c r="C83" s="401"/>
      <c r="D83" s="400">
        <v>15</v>
      </c>
      <c r="E83" s="401"/>
      <c r="F83" s="400">
        <v>17</v>
      </c>
      <c r="G83" s="401"/>
      <c r="H83" s="400">
        <v>18</v>
      </c>
      <c r="I83" s="401"/>
      <c r="J83" s="400">
        <v>14</v>
      </c>
      <c r="K83" s="401"/>
      <c r="L83" s="402">
        <v>20</v>
      </c>
      <c r="M83" s="403"/>
      <c r="N83" s="400">
        <v>15</v>
      </c>
      <c r="O83" s="401"/>
      <c r="P83" s="400">
        <v>18</v>
      </c>
      <c r="Q83" s="401"/>
      <c r="R83" s="400">
        <v>18</v>
      </c>
      <c r="S83" s="401"/>
      <c r="T83" s="400">
        <v>18</v>
      </c>
      <c r="U83" s="401"/>
    </row>
    <row r="84" spans="1:21" ht="15" x14ac:dyDescent="0.2">
      <c r="A84" s="289" t="s">
        <v>430</v>
      </c>
      <c r="B84" s="400">
        <v>6</v>
      </c>
      <c r="C84" s="401"/>
      <c r="D84" s="400">
        <v>9</v>
      </c>
      <c r="E84" s="401"/>
      <c r="F84" s="400">
        <v>6</v>
      </c>
      <c r="G84" s="401"/>
      <c r="H84" s="402">
        <v>5</v>
      </c>
      <c r="I84" s="403"/>
      <c r="J84" s="400">
        <v>10</v>
      </c>
      <c r="K84" s="401"/>
      <c r="L84" s="400">
        <v>11</v>
      </c>
      <c r="M84" s="401"/>
      <c r="N84" s="400">
        <v>7</v>
      </c>
      <c r="O84" s="401"/>
      <c r="P84" s="400">
        <v>6</v>
      </c>
      <c r="Q84" s="401"/>
      <c r="R84" s="400">
        <v>8</v>
      </c>
      <c r="S84" s="401"/>
      <c r="T84" s="400">
        <v>9</v>
      </c>
      <c r="U84" s="401"/>
    </row>
    <row r="85" spans="1:21" ht="15" x14ac:dyDescent="0.2">
      <c r="A85" s="289" t="s">
        <v>431</v>
      </c>
      <c r="B85" s="400">
        <v>69</v>
      </c>
      <c r="C85" s="401"/>
      <c r="D85" s="400">
        <v>81</v>
      </c>
      <c r="E85" s="401"/>
      <c r="F85" s="400">
        <v>75</v>
      </c>
      <c r="G85" s="401"/>
      <c r="H85" s="400">
        <v>68</v>
      </c>
      <c r="I85" s="401"/>
      <c r="J85" s="402">
        <v>85</v>
      </c>
      <c r="K85" s="403"/>
      <c r="L85" s="400">
        <v>63</v>
      </c>
      <c r="M85" s="401"/>
      <c r="N85" s="400">
        <v>67</v>
      </c>
      <c r="O85" s="401"/>
      <c r="P85" s="400">
        <v>82</v>
      </c>
      <c r="Q85" s="401"/>
      <c r="R85" s="400">
        <v>77</v>
      </c>
      <c r="S85" s="401"/>
      <c r="T85" s="400">
        <v>77</v>
      </c>
      <c r="U85" s="401"/>
    </row>
    <row r="86" spans="1:21" ht="15" x14ac:dyDescent="0.2">
      <c r="A86" s="289" t="s">
        <v>433</v>
      </c>
      <c r="B86" s="400">
        <v>35</v>
      </c>
      <c r="C86" s="401"/>
      <c r="D86" s="400">
        <v>37</v>
      </c>
      <c r="E86" s="401"/>
      <c r="F86" s="400">
        <v>44</v>
      </c>
      <c r="G86" s="401"/>
      <c r="H86" s="400">
        <v>49</v>
      </c>
      <c r="I86" s="401"/>
      <c r="J86" s="400">
        <v>40</v>
      </c>
      <c r="K86" s="401"/>
      <c r="L86" s="400">
        <v>42</v>
      </c>
      <c r="M86" s="401"/>
      <c r="N86" s="400">
        <v>34</v>
      </c>
      <c r="O86" s="401"/>
      <c r="P86" s="400">
        <v>35</v>
      </c>
      <c r="Q86" s="401"/>
      <c r="R86" s="402">
        <v>33</v>
      </c>
      <c r="S86" s="403"/>
      <c r="T86" s="400">
        <v>39</v>
      </c>
      <c r="U86" s="401"/>
    </row>
    <row r="87" spans="1:21" ht="15" x14ac:dyDescent="0.2">
      <c r="A87" s="290" t="s">
        <v>432</v>
      </c>
      <c r="B87" s="400">
        <v>64</v>
      </c>
      <c r="C87" s="401"/>
      <c r="D87" s="400">
        <v>71</v>
      </c>
      <c r="E87" s="401"/>
      <c r="F87" s="402">
        <v>77</v>
      </c>
      <c r="G87" s="403"/>
      <c r="H87" s="400">
        <v>67</v>
      </c>
      <c r="I87" s="401"/>
      <c r="J87" s="400">
        <v>73</v>
      </c>
      <c r="K87" s="401"/>
      <c r="L87" s="400">
        <v>76</v>
      </c>
      <c r="M87" s="401"/>
      <c r="N87" s="400">
        <v>68</v>
      </c>
      <c r="O87" s="401"/>
      <c r="P87" s="402">
        <v>77</v>
      </c>
      <c r="Q87" s="403"/>
      <c r="R87" s="400">
        <v>71</v>
      </c>
      <c r="S87" s="401"/>
      <c r="T87" s="400">
        <v>68</v>
      </c>
      <c r="U87" s="401"/>
    </row>
    <row r="88" spans="1:21" ht="15" x14ac:dyDescent="0.2">
      <c r="A88" s="289" t="s">
        <v>434</v>
      </c>
      <c r="B88" s="400">
        <v>39</v>
      </c>
      <c r="C88" s="401"/>
      <c r="D88" s="400">
        <v>42</v>
      </c>
      <c r="E88" s="401"/>
      <c r="F88" s="400">
        <v>43</v>
      </c>
      <c r="G88" s="401"/>
      <c r="H88" s="402">
        <v>34</v>
      </c>
      <c r="I88" s="403"/>
      <c r="J88" s="400">
        <v>47</v>
      </c>
      <c r="K88" s="401"/>
      <c r="L88" s="400">
        <v>44</v>
      </c>
      <c r="M88" s="401"/>
      <c r="N88" s="400">
        <v>35</v>
      </c>
      <c r="O88" s="401"/>
      <c r="P88" s="400">
        <v>41</v>
      </c>
      <c r="Q88" s="401"/>
      <c r="R88" s="400">
        <v>45</v>
      </c>
      <c r="S88" s="401"/>
      <c r="T88" s="400">
        <v>46</v>
      </c>
      <c r="U88" s="401"/>
    </row>
  </sheetData>
  <mergeCells count="200">
    <mergeCell ref="N87:O87"/>
    <mergeCell ref="P87:Q87"/>
    <mergeCell ref="R87:S87"/>
    <mergeCell ref="T87:U87"/>
    <mergeCell ref="D88:E88"/>
    <mergeCell ref="F88:G88"/>
    <mergeCell ref="H88:I88"/>
    <mergeCell ref="J88:K88"/>
    <mergeCell ref="L88:M88"/>
    <mergeCell ref="N88:O88"/>
    <mergeCell ref="P88:Q88"/>
    <mergeCell ref="R88:S88"/>
    <mergeCell ref="T88:U88"/>
    <mergeCell ref="N85:O85"/>
    <mergeCell ref="P85:Q85"/>
    <mergeCell ref="R85:S85"/>
    <mergeCell ref="T85:U85"/>
    <mergeCell ref="D86:E86"/>
    <mergeCell ref="F86:G86"/>
    <mergeCell ref="H86:I86"/>
    <mergeCell ref="J86:K86"/>
    <mergeCell ref="L86:M86"/>
    <mergeCell ref="N86:O86"/>
    <mergeCell ref="P86:Q86"/>
    <mergeCell ref="R86:S86"/>
    <mergeCell ref="T86:U86"/>
    <mergeCell ref="B85:C85"/>
    <mergeCell ref="B86:C86"/>
    <mergeCell ref="B87:C87"/>
    <mergeCell ref="B88:C88"/>
    <mergeCell ref="D85:E85"/>
    <mergeCell ref="F85:G85"/>
    <mergeCell ref="H85:I85"/>
    <mergeCell ref="J85:K85"/>
    <mergeCell ref="L85:M85"/>
    <mergeCell ref="D87:E87"/>
    <mergeCell ref="F87:G87"/>
    <mergeCell ref="H87:I87"/>
    <mergeCell ref="J87:K87"/>
    <mergeCell ref="L87:M87"/>
    <mergeCell ref="R48:S48"/>
    <mergeCell ref="N46:O46"/>
    <mergeCell ref="P46:Q46"/>
    <mergeCell ref="R46:S46"/>
    <mergeCell ref="N45:O45"/>
    <mergeCell ref="P45:Q45"/>
    <mergeCell ref="R45:S45"/>
    <mergeCell ref="T76:U76"/>
    <mergeCell ref="N76:O76"/>
    <mergeCell ref="P76:Q76"/>
    <mergeCell ref="R76:S76"/>
    <mergeCell ref="T46:U46"/>
    <mergeCell ref="T48:U48"/>
    <mergeCell ref="N49:O49"/>
    <mergeCell ref="P49:Q49"/>
    <mergeCell ref="R49:S49"/>
    <mergeCell ref="T49:U49"/>
    <mergeCell ref="B46:C46"/>
    <mergeCell ref="D46:E46"/>
    <mergeCell ref="F46:G46"/>
    <mergeCell ref="H46:I46"/>
    <mergeCell ref="J46:K46"/>
    <mergeCell ref="L46:M46"/>
    <mergeCell ref="B45:C45"/>
    <mergeCell ref="D45:E45"/>
    <mergeCell ref="F45:G45"/>
    <mergeCell ref="H45:I45"/>
    <mergeCell ref="J45:K45"/>
    <mergeCell ref="L45:M45"/>
    <mergeCell ref="B76:C76"/>
    <mergeCell ref="B77:C77"/>
    <mergeCell ref="B78:C78"/>
    <mergeCell ref="B79:C79"/>
    <mergeCell ref="B48:C48"/>
    <mergeCell ref="D48:E48"/>
    <mergeCell ref="F48:G48"/>
    <mergeCell ref="H48:I48"/>
    <mergeCell ref="J48:K48"/>
    <mergeCell ref="D76:E76"/>
    <mergeCell ref="F76:G76"/>
    <mergeCell ref="H76:I76"/>
    <mergeCell ref="J76:K76"/>
    <mergeCell ref="D78:E78"/>
    <mergeCell ref="F78:G78"/>
    <mergeCell ref="D77:E77"/>
    <mergeCell ref="F77:G77"/>
    <mergeCell ref="B49:C49"/>
    <mergeCell ref="D49:E49"/>
    <mergeCell ref="F49:G49"/>
    <mergeCell ref="H49:I49"/>
    <mergeCell ref="J49:K49"/>
    <mergeCell ref="D79:E79"/>
    <mergeCell ref="F79:G79"/>
    <mergeCell ref="B1:C1"/>
    <mergeCell ref="D1:E1"/>
    <mergeCell ref="F1:G1"/>
    <mergeCell ref="H1:I1"/>
    <mergeCell ref="J1:K1"/>
    <mergeCell ref="L1:M1"/>
    <mergeCell ref="B43:C43"/>
    <mergeCell ref="D43:E43"/>
    <mergeCell ref="F43:G43"/>
    <mergeCell ref="H43:I43"/>
    <mergeCell ref="J43:K43"/>
    <mergeCell ref="L43:M43"/>
    <mergeCell ref="B40:C40"/>
    <mergeCell ref="D40:E40"/>
    <mergeCell ref="F40:G40"/>
    <mergeCell ref="H40:I40"/>
    <mergeCell ref="J40:K40"/>
    <mergeCell ref="L40:M40"/>
    <mergeCell ref="N1:O1"/>
    <mergeCell ref="P1:Q1"/>
    <mergeCell ref="R1:S1"/>
    <mergeCell ref="T1:U1"/>
    <mergeCell ref="N43:O43"/>
    <mergeCell ref="P43:Q43"/>
    <mergeCell ref="R43:S43"/>
    <mergeCell ref="T43:U43"/>
    <mergeCell ref="T45:U45"/>
    <mergeCell ref="N40:O40"/>
    <mergeCell ref="P40:Q40"/>
    <mergeCell ref="R40:S40"/>
    <mergeCell ref="T40:U40"/>
    <mergeCell ref="H78:I78"/>
    <mergeCell ref="J78:K78"/>
    <mergeCell ref="L78:M78"/>
    <mergeCell ref="N78:O78"/>
    <mergeCell ref="P78:Q78"/>
    <mergeCell ref="R78:S78"/>
    <mergeCell ref="T78:U78"/>
    <mergeCell ref="P77:Q77"/>
    <mergeCell ref="H77:I77"/>
    <mergeCell ref="J77:K77"/>
    <mergeCell ref="L77:M77"/>
    <mergeCell ref="N77:O77"/>
    <mergeCell ref="L48:M48"/>
    <mergeCell ref="L76:M76"/>
    <mergeCell ref="N48:O48"/>
    <mergeCell ref="P48:Q48"/>
    <mergeCell ref="N79:O79"/>
    <mergeCell ref="P79:Q79"/>
    <mergeCell ref="R79:S79"/>
    <mergeCell ref="T79:U79"/>
    <mergeCell ref="B80:C80"/>
    <mergeCell ref="D80:E80"/>
    <mergeCell ref="F80:G80"/>
    <mergeCell ref="H80:I80"/>
    <mergeCell ref="J80:K80"/>
    <mergeCell ref="L80:M80"/>
    <mergeCell ref="N80:O80"/>
    <mergeCell ref="P80:Q80"/>
    <mergeCell ref="R80:S80"/>
    <mergeCell ref="T80:U80"/>
    <mergeCell ref="H79:I79"/>
    <mergeCell ref="J79:K79"/>
    <mergeCell ref="L79:M79"/>
    <mergeCell ref="L49:M49"/>
    <mergeCell ref="R77:S77"/>
    <mergeCell ref="T77:U77"/>
    <mergeCell ref="B81:C81"/>
    <mergeCell ref="B82:C82"/>
    <mergeCell ref="B83:C83"/>
    <mergeCell ref="B84:C84"/>
    <mergeCell ref="D81:E81"/>
    <mergeCell ref="D82:E82"/>
    <mergeCell ref="D83:E83"/>
    <mergeCell ref="D84:E84"/>
    <mergeCell ref="F81:G81"/>
    <mergeCell ref="F82:G82"/>
    <mergeCell ref="F83:G83"/>
    <mergeCell ref="F84:G84"/>
    <mergeCell ref="H81:I81"/>
    <mergeCell ref="J81:K81"/>
    <mergeCell ref="H82:I82"/>
    <mergeCell ref="J82:K82"/>
    <mergeCell ref="H83:I83"/>
    <mergeCell ref="J83:K83"/>
    <mergeCell ref="H84:I84"/>
    <mergeCell ref="J84:K84"/>
    <mergeCell ref="L81:M81"/>
    <mergeCell ref="L83:M83"/>
    <mergeCell ref="N81:O81"/>
    <mergeCell ref="P81:Q81"/>
    <mergeCell ref="R81:S81"/>
    <mergeCell ref="T81:U81"/>
    <mergeCell ref="L82:M82"/>
    <mergeCell ref="N82:O82"/>
    <mergeCell ref="P82:Q82"/>
    <mergeCell ref="R82:S82"/>
    <mergeCell ref="T82:U82"/>
    <mergeCell ref="N83:O83"/>
    <mergeCell ref="P83:Q83"/>
    <mergeCell ref="R83:S83"/>
    <mergeCell ref="T83:U83"/>
    <mergeCell ref="L84:M84"/>
    <mergeCell ref="N84:O84"/>
    <mergeCell ref="P84:Q84"/>
    <mergeCell ref="R84:S84"/>
    <mergeCell ref="T84:U84"/>
  </mergeCells>
  <conditionalFormatting sqref="B3:B38">
    <cfRule type="cellIs" dxfId="9" priority="10" operator="greaterThan">
      <formula>$B$40-0.5</formula>
    </cfRule>
  </conditionalFormatting>
  <conditionalFormatting sqref="D3:D38">
    <cfRule type="cellIs" dxfId="8" priority="9" operator="greaterThan">
      <formula>$D$40-0.5</formula>
    </cfRule>
  </conditionalFormatting>
  <conditionalFormatting sqref="F3:F38">
    <cfRule type="cellIs" dxfId="7" priority="8" operator="greaterThan">
      <formula>$F$40-0.5</formula>
    </cfRule>
  </conditionalFormatting>
  <conditionalFormatting sqref="H3:H38">
    <cfRule type="cellIs" dxfId="6" priority="7" operator="greaterThan">
      <formula>$H$40-0.5</formula>
    </cfRule>
  </conditionalFormatting>
  <conditionalFormatting sqref="J3:J38">
    <cfRule type="cellIs" dxfId="5" priority="6" operator="greaterThan">
      <formula>$J$40-0.5</formula>
    </cfRule>
  </conditionalFormatting>
  <conditionalFormatting sqref="L3:L38">
    <cfRule type="cellIs" dxfId="4" priority="5" operator="greaterThan">
      <formula>$L$40-0.5</formula>
    </cfRule>
  </conditionalFormatting>
  <conditionalFormatting sqref="N3:N38">
    <cfRule type="cellIs" dxfId="3" priority="4" operator="greaterThan">
      <formula>$N$40-0.5</formula>
    </cfRule>
  </conditionalFormatting>
  <conditionalFormatting sqref="P3:P38">
    <cfRule type="cellIs" dxfId="2" priority="3" operator="greaterThan">
      <formula>$P$40-0.5</formula>
    </cfRule>
  </conditionalFormatting>
  <conditionalFormatting sqref="R3:R38">
    <cfRule type="cellIs" dxfId="1" priority="2" operator="greaterThan">
      <formula>$R$40-0.5</formula>
    </cfRule>
  </conditionalFormatting>
  <conditionalFormatting sqref="T3:T38">
    <cfRule type="cellIs" dxfId="0" priority="1" operator="greaterThan">
      <formula>$T$40-0.5</formula>
    </cfRule>
  </conditionalFormatting>
  <pageMargins left="0.7" right="0.7" top="0.75" bottom="0.75" header="0.3" footer="0.3"/>
  <pageSetup paperSize="9" orientation="portrait" r:id="rId1"/>
  <ignoredErrors>
    <ignoredError sqref="D55 D57:D64 D66:D73 F57:F64 H57:H64 L57:L64 J57:J64 N57:N64 P57:P64 R57:R64 T57:T64 F66:F73 H66:H73 J66:J73 L66:L73 N66:N73 P66:P73 R66:R73 T66:T73 D53 F53 D54 F55 F54 H53 H55 H54 J53 J55 J54 L53 L55 L54 N53 N55 N54 P53 P55 P54 R53 R55 R54 T53 T55 T54 C53:C55 E53:E55 G53:G55 I53:I55 K53:K55 M53:M55 O53:O55 Q53:Q55 S53:S55 C57:C64 E57:E64 G57:G64 I57:I64 K57:K64 M57:M64 O57:O64 Q57:Q64 S57:S6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95:R105"/>
  <sheetViews>
    <sheetView zoomScaleNormal="100" workbookViewId="0">
      <selection activeCell="V101" sqref="V101"/>
    </sheetView>
  </sheetViews>
  <sheetFormatPr defaultRowHeight="14.25" x14ac:dyDescent="0.2"/>
  <cols>
    <col min="1" max="1" width="4.5" customWidth="1"/>
    <col min="2" max="2" width="11.75" bestFit="1" customWidth="1"/>
    <col min="3" max="3" width="10.75" customWidth="1"/>
    <col min="5" max="5" width="11.75" bestFit="1" customWidth="1"/>
    <col min="7" max="7" width="8.625" customWidth="1"/>
    <col min="8" max="8" width="11.75" bestFit="1" customWidth="1"/>
    <col min="10" max="10" width="9.125" customWidth="1"/>
    <col min="11" max="11" width="11.75" bestFit="1" customWidth="1"/>
    <col min="12" max="12" width="9.25" customWidth="1"/>
    <col min="14" max="14" width="11.75" bestFit="1" customWidth="1"/>
    <col min="17" max="17" width="11.75" bestFit="1" customWidth="1"/>
    <col min="18" max="18" width="9.125" customWidth="1"/>
  </cols>
  <sheetData>
    <row r="95" spans="2:18" ht="15" x14ac:dyDescent="0.25">
      <c r="B95" s="439" t="s">
        <v>291</v>
      </c>
      <c r="C95" s="439"/>
      <c r="E95" s="439" t="s">
        <v>318</v>
      </c>
      <c r="F95" s="439"/>
      <c r="H95" s="439" t="s">
        <v>292</v>
      </c>
      <c r="I95" s="439"/>
      <c r="K95" s="438" t="s">
        <v>457</v>
      </c>
      <c r="L95" s="438"/>
      <c r="N95" s="439" t="s">
        <v>319</v>
      </c>
      <c r="O95" s="439"/>
      <c r="Q95" s="438" t="s">
        <v>457</v>
      </c>
      <c r="R95" s="438"/>
    </row>
    <row r="96" spans="2:18" x14ac:dyDescent="0.2">
      <c r="B96" s="192" t="s">
        <v>286</v>
      </c>
      <c r="C96" s="84">
        <f>Punteggio!K39 - FantaCulo!R41</f>
        <v>58.106699999999996</v>
      </c>
      <c r="E96" s="192" t="s">
        <v>286</v>
      </c>
      <c r="F96" s="84">
        <f>Punteggio!K39 - FantaCulo!R41 + Punteggio!J46 - Punteggio!J49</f>
        <v>58.106699999999996</v>
      </c>
      <c r="H96" s="192" t="s">
        <v>284</v>
      </c>
      <c r="I96" s="90">
        <f>Punteggio!E39</f>
        <v>65</v>
      </c>
      <c r="K96" s="193" t="s">
        <v>314</v>
      </c>
      <c r="L96" s="92">
        <f>INDEX('Calcolo Delta'!F$3:F$38, MATCH('RAW DATA andamento'!$B$57,'Calcolo Delta'!$A$3:$A$38,0))</f>
        <v>2</v>
      </c>
      <c r="N96" s="193" t="s">
        <v>286</v>
      </c>
      <c r="O96" s="106">
        <f>Punteggio!J39</f>
        <v>2667.5</v>
      </c>
      <c r="Q96" s="193" t="s">
        <v>314</v>
      </c>
      <c r="R96" s="106">
        <f>INDEX('Calcolo Delta'!F$42:F$77, MATCH('RAW DATA andamento'!$B$57,'Calcolo Delta'!$A$42:$A$77,0))</f>
        <v>-100</v>
      </c>
    </row>
    <row r="97" spans="2:18" x14ac:dyDescent="0.2">
      <c r="B97" s="192" t="s">
        <v>348</v>
      </c>
      <c r="C97" s="84">
        <f>Punteggio!G39 - FantaCulo!J41</f>
        <v>55.106399999999994</v>
      </c>
      <c r="E97" s="192" t="s">
        <v>348</v>
      </c>
      <c r="F97" s="84">
        <f>Punteggio!G39 - FantaCulo!J41 + Punteggio!F46 - Punteggio!F49</f>
        <v>53.106399999999994</v>
      </c>
      <c r="H97" s="192" t="s">
        <v>290</v>
      </c>
      <c r="I97" s="90">
        <f>Punteggio!U39</f>
        <v>60</v>
      </c>
      <c r="K97" s="193" t="s">
        <v>284</v>
      </c>
      <c r="L97" s="92">
        <f>INDEX('Calcolo Delta'!K$3:K$38, MATCH('RAW DATA andamento'!$B$57,'Calcolo Delta'!$A$3:$A$38,0))</f>
        <v>17</v>
      </c>
      <c r="N97" s="193" t="s">
        <v>284</v>
      </c>
      <c r="O97" s="106">
        <f>Punteggio!D39</f>
        <v>2613.5</v>
      </c>
      <c r="Q97" s="193" t="s">
        <v>284</v>
      </c>
      <c r="R97" s="106">
        <f>INDEX('Calcolo Delta'!K$42:K$77, MATCH('RAW DATA andamento'!$B$57,'Calcolo Delta'!$A$42:$A$77,0))</f>
        <v>-31.5</v>
      </c>
    </row>
    <row r="98" spans="2:18" x14ac:dyDescent="0.2">
      <c r="B98" s="192" t="s">
        <v>284</v>
      </c>
      <c r="C98" s="84">
        <f>Punteggio!E39 - FantaCulo!F41</f>
        <v>52.884199999999993</v>
      </c>
      <c r="E98" s="192" t="s">
        <v>315</v>
      </c>
      <c r="F98" s="84">
        <f>Punteggio!O39 - FantaCulo!Z41 + Punteggio!N46 - Punteggio!N49</f>
        <v>51.884999999999998</v>
      </c>
      <c r="H98" s="192" t="s">
        <v>286</v>
      </c>
      <c r="I98" s="90">
        <f>Punteggio!K39</f>
        <v>56</v>
      </c>
      <c r="K98" s="193" t="s">
        <v>348</v>
      </c>
      <c r="L98" s="92">
        <f>INDEX('Calcolo Delta'!P$3:P$38, MATCH('RAW DATA andamento'!$B$57,'Calcolo Delta'!$A$3:$A$38,0))</f>
        <v>20</v>
      </c>
      <c r="N98" s="193" t="s">
        <v>348</v>
      </c>
      <c r="O98" s="106">
        <f>Punteggio!F39</f>
        <v>2613</v>
      </c>
      <c r="Q98" s="193" t="s">
        <v>348</v>
      </c>
      <c r="R98" s="106">
        <f>INDEX('Calcolo Delta'!P$42:P$77, MATCH('RAW DATA andamento'!$B$57,'Calcolo Delta'!$A$42:$A$77,0))</f>
        <v>97.5</v>
      </c>
    </row>
    <row r="99" spans="2:18" x14ac:dyDescent="0.2">
      <c r="B99" s="192" t="s">
        <v>290</v>
      </c>
      <c r="C99" s="84">
        <f>Punteggio!U39 - FantaCulo!AL41</f>
        <v>50.551299999999991</v>
      </c>
      <c r="E99" s="192" t="s">
        <v>284</v>
      </c>
      <c r="F99" s="84">
        <f>Punteggio!E39 - FantaCulo!F41 + Punteggio!D46 - Punteggio!D49</f>
        <v>51.884199999999993</v>
      </c>
      <c r="H99" s="192" t="s">
        <v>348</v>
      </c>
      <c r="I99" s="90">
        <f>Punteggio!G39</f>
        <v>56</v>
      </c>
      <c r="K99" s="193" t="s">
        <v>285</v>
      </c>
      <c r="L99" s="92">
        <f>INDEX('Calcolo Delta'!U$3:U$38, MATCH('RAW DATA andamento'!$B$57,'Calcolo Delta'!$A$3:$A$38,0))</f>
        <v>-11</v>
      </c>
      <c r="N99" s="193" t="s">
        <v>290</v>
      </c>
      <c r="O99" s="106">
        <f>Punteggio!T39</f>
        <v>2608</v>
      </c>
      <c r="Q99" s="193" t="s">
        <v>285</v>
      </c>
      <c r="R99" s="106">
        <f>INDEX('Calcolo Delta'!U$42:U$77, MATCH('RAW DATA andamento'!$B$57,'Calcolo Delta'!$A$42:$A$77,0))</f>
        <v>-69</v>
      </c>
    </row>
    <row r="100" spans="2:18" x14ac:dyDescent="0.2">
      <c r="B100" s="192" t="s">
        <v>315</v>
      </c>
      <c r="C100" s="84">
        <f>Punteggio!O39 - FantaCulo!Z41</f>
        <v>49.884999999999998</v>
      </c>
      <c r="E100" s="192" t="s">
        <v>290</v>
      </c>
      <c r="F100" s="84">
        <f>Punteggio!U39 - FantaCulo!AL41 +Punteggio!T46 - Punteggio!T49</f>
        <v>51.551299999999991</v>
      </c>
      <c r="H100" s="192" t="s">
        <v>314</v>
      </c>
      <c r="I100" s="90">
        <f>Punteggio!C39</f>
        <v>52</v>
      </c>
      <c r="K100" s="193" t="s">
        <v>286</v>
      </c>
      <c r="L100" s="92">
        <f>INDEX('Calcolo Delta'!Z$3:Z$38, MATCH('RAW DATA andamento'!$B$57,'Calcolo Delta'!$A$3:$A$38,0))</f>
        <v>6</v>
      </c>
      <c r="N100" s="193" t="s">
        <v>315</v>
      </c>
      <c r="O100" s="106">
        <f>Punteggio!N39</f>
        <v>2584</v>
      </c>
      <c r="Q100" s="193" t="s">
        <v>286</v>
      </c>
      <c r="R100" s="106">
        <f>INDEX('Calcolo Delta'!Z$42:Z$77, MATCH('RAW DATA andamento'!$B$57,'Calcolo Delta'!$A$42:$A$77,0))</f>
        <v>62.5</v>
      </c>
    </row>
    <row r="101" spans="2:18" x14ac:dyDescent="0.2">
      <c r="B101" s="192" t="s">
        <v>288</v>
      </c>
      <c r="C101" s="84">
        <f>Punteggio!Q39 - FantaCulo!AD41</f>
        <v>45.885399999999997</v>
      </c>
      <c r="E101" s="192" t="s">
        <v>285</v>
      </c>
      <c r="F101" s="84">
        <f>Punteggio!I39 - FantaCulo!N41 + Punteggio!H46 - Punteggio!H49</f>
        <v>43.996099999999998</v>
      </c>
      <c r="H101" s="192" t="s">
        <v>315</v>
      </c>
      <c r="I101" s="90">
        <f>Punteggio!O39</f>
        <v>50</v>
      </c>
      <c r="K101" s="193" t="s">
        <v>287</v>
      </c>
      <c r="L101" s="92">
        <f>INDEX('Calcolo Delta'!AE$3:AE$38, MATCH('RAW DATA andamento'!$B$57,'Calcolo Delta'!$A$3:$A$38,0))</f>
        <v>-8</v>
      </c>
      <c r="N101" s="193" t="s">
        <v>288</v>
      </c>
      <c r="O101" s="106">
        <f>Punteggio!P39</f>
        <v>2577.5</v>
      </c>
      <c r="Q101" s="193" t="s">
        <v>287</v>
      </c>
      <c r="R101" s="106">
        <f>INDEX('Calcolo Delta'!AE$42:AE$77, MATCH('RAW DATA andamento'!$B$57,'Calcolo Delta'!$A$42:$A$77,0))</f>
        <v>-47</v>
      </c>
    </row>
    <row r="102" spans="2:18" x14ac:dyDescent="0.2">
      <c r="B102" s="192" t="s">
        <v>289</v>
      </c>
      <c r="C102" s="84">
        <f>Punteggio!S39 - FantaCulo!AH41</f>
        <v>45.107299999999995</v>
      </c>
      <c r="E102" s="192" t="s">
        <v>289</v>
      </c>
      <c r="F102" s="84">
        <f>Punteggio!S39 - FantaCulo!AH41 + Punteggio!R46 - Punteggio!R49</f>
        <v>43.107299999999995</v>
      </c>
      <c r="H102" s="192" t="s">
        <v>289</v>
      </c>
      <c r="I102" s="90">
        <f>Punteggio!S39</f>
        <v>43</v>
      </c>
      <c r="K102" s="193" t="s">
        <v>315</v>
      </c>
      <c r="L102" s="92">
        <f>INDEX('Calcolo Delta'!AJ$3:AJ$38, MATCH('RAW DATA andamento'!$B$57,'Calcolo Delta'!$A$3:$A$38,0))</f>
        <v>7</v>
      </c>
      <c r="N102" s="193" t="s">
        <v>289</v>
      </c>
      <c r="O102" s="106">
        <f>Punteggio!R39</f>
        <v>2548</v>
      </c>
      <c r="Q102" s="193" t="s">
        <v>315</v>
      </c>
      <c r="R102" s="106">
        <f>INDEX('Calcolo Delta'!AJ$42:AJ$77, MATCH('RAW DATA andamento'!$B$57,'Calcolo Delta'!$A$42:$A$77,0))</f>
        <v>19.5</v>
      </c>
    </row>
    <row r="103" spans="2:18" x14ac:dyDescent="0.2">
      <c r="B103" s="192" t="s">
        <v>285</v>
      </c>
      <c r="C103" s="84">
        <f>Punteggio!I39 - FantaCulo!N41</f>
        <v>41.996099999999998</v>
      </c>
      <c r="E103" s="192" t="s">
        <v>288</v>
      </c>
      <c r="F103" s="84">
        <f>Punteggio!Q39 - FantaCulo!AD41 + Punteggio!P46 - Punteggio!P49</f>
        <v>42.885399999999997</v>
      </c>
      <c r="H103" s="192" t="s">
        <v>288</v>
      </c>
      <c r="I103" s="90">
        <f>Punteggio!Q39</f>
        <v>39</v>
      </c>
      <c r="K103" s="193" t="s">
        <v>288</v>
      </c>
      <c r="L103" s="92">
        <f>INDEX('Calcolo Delta'!AO$3:AO$38, MATCH('RAW DATA andamento'!$B$57,'Calcolo Delta'!$A$3:$A$38,0))</f>
        <v>-19</v>
      </c>
      <c r="N103" s="193" t="s">
        <v>287</v>
      </c>
      <c r="O103" s="106">
        <f>Punteggio!L39</f>
        <v>2542</v>
      </c>
      <c r="Q103" s="193" t="s">
        <v>288</v>
      </c>
      <c r="R103" s="106">
        <f>INDEX('Calcolo Delta'!AO$42:AO$77, MATCH('RAW DATA andamento'!$B$57,'Calcolo Delta'!$A$42:$A$77,0))</f>
        <v>-98.5</v>
      </c>
    </row>
    <row r="104" spans="2:18" x14ac:dyDescent="0.2">
      <c r="B104" s="192" t="s">
        <v>314</v>
      </c>
      <c r="C104" s="84">
        <f>Punteggio!C39 - FantaCulo!B41</f>
        <v>40.218299999999999</v>
      </c>
      <c r="E104" s="192" t="s">
        <v>287</v>
      </c>
      <c r="F104" s="84">
        <f>Punteggio!M39 - FantaCulo!V41 + Punteggio!L46 - Punteggio!L49</f>
        <v>41.5518</v>
      </c>
      <c r="H104" s="192" t="s">
        <v>285</v>
      </c>
      <c r="I104" s="90">
        <f>Punteggio!I39</f>
        <v>35</v>
      </c>
      <c r="K104" s="193" t="s">
        <v>289</v>
      </c>
      <c r="L104" s="92">
        <f>INDEX('Calcolo Delta'!AT$3:AT$38, MATCH('RAW DATA andamento'!$B$57,'Calcolo Delta'!$A$3:$A$38,0))</f>
        <v>-8</v>
      </c>
      <c r="N104" s="193" t="s">
        <v>314</v>
      </c>
      <c r="O104" s="106">
        <f>Punteggio!B39</f>
        <v>2523</v>
      </c>
      <c r="Q104" s="193" t="s">
        <v>289</v>
      </c>
      <c r="R104" s="106">
        <f>INDEX('Calcolo Delta'!AT$42:AT$77, MATCH('RAW DATA andamento'!$B$57,'Calcolo Delta'!$A$42:$A$77,0))</f>
        <v>-96</v>
      </c>
    </row>
    <row r="105" spans="2:18" x14ac:dyDescent="0.2">
      <c r="B105" s="192" t="s">
        <v>287</v>
      </c>
      <c r="C105" s="84">
        <f>Punteggio!M39 - FantaCulo!V41</f>
        <v>39.5518</v>
      </c>
      <c r="E105" s="192" t="s">
        <v>314</v>
      </c>
      <c r="F105" s="84">
        <f>Punteggio!C39 - FantaCulo!B41 + Punteggio!B46 - Punteggio!B49</f>
        <v>41.218299999999999</v>
      </c>
      <c r="H105" s="192" t="s">
        <v>287</v>
      </c>
      <c r="I105" s="90">
        <f>Punteggio!M39</f>
        <v>35</v>
      </c>
      <c r="K105" s="193" t="s">
        <v>290</v>
      </c>
      <c r="L105" s="92">
        <f>INDEX('Calcolo Delta'!AY$3:AY$38, MATCH('RAW DATA andamento'!$B$57,'Calcolo Delta'!$A$3:$A$38,0))</f>
        <v>2</v>
      </c>
      <c r="N105" s="193" t="s">
        <v>285</v>
      </c>
      <c r="O105" s="106">
        <f>Punteggio!H39</f>
        <v>2504</v>
      </c>
      <c r="Q105" s="193" t="s">
        <v>290</v>
      </c>
      <c r="R105" s="106">
        <f>INDEX('Calcolo Delta'!AY$42:AY$77, MATCH('RAW DATA andamento'!$B$57,'Calcolo Delta'!$A$42:$A$77,0))</f>
        <v>-29.5</v>
      </c>
    </row>
  </sheetData>
  <sortState ref="N96:O105">
    <sortCondition descending="1" ref="O96"/>
  </sortState>
  <mergeCells count="6">
    <mergeCell ref="Q95:R95"/>
    <mergeCell ref="B95:C95"/>
    <mergeCell ref="H95:I95"/>
    <mergeCell ref="E95:F95"/>
    <mergeCell ref="N95:O95"/>
    <mergeCell ref="K95:L95"/>
  </mergeCells>
  <pageMargins left="0.7" right="0.7" top="0.75" bottom="0.75" header="0.3" footer="0.3"/>
  <pageSetup orientation="portrait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8"/>
  <sheetViews>
    <sheetView zoomScale="120" zoomScaleNormal="120" workbookViewId="0">
      <pane ySplit="1" topLeftCell="A2" activePane="bottomLeft" state="frozen"/>
      <selection pane="bottomLeft" activeCell="L23" sqref="L23:M23"/>
    </sheetView>
  </sheetViews>
  <sheetFormatPr defaultRowHeight="14.25" x14ac:dyDescent="0.2"/>
  <sheetData>
    <row r="1" spans="1:21" ht="15" x14ac:dyDescent="0.25">
      <c r="A1" s="48" t="s">
        <v>268</v>
      </c>
      <c r="B1" s="424" t="s">
        <v>312</v>
      </c>
      <c r="C1" s="425"/>
      <c r="D1" s="426" t="s">
        <v>7</v>
      </c>
      <c r="E1" s="427"/>
      <c r="F1" s="450" t="s">
        <v>304</v>
      </c>
      <c r="G1" s="429"/>
      <c r="H1" s="451" t="s">
        <v>9</v>
      </c>
      <c r="I1" s="431"/>
      <c r="J1" s="452" t="s">
        <v>10</v>
      </c>
      <c r="K1" s="433"/>
      <c r="L1" s="453" t="s">
        <v>267</v>
      </c>
      <c r="M1" s="435"/>
      <c r="N1" s="441" t="s">
        <v>313</v>
      </c>
      <c r="O1" s="411"/>
      <c r="P1" s="442" t="s">
        <v>272</v>
      </c>
      <c r="Q1" s="413"/>
      <c r="R1" s="443" t="s">
        <v>273</v>
      </c>
      <c r="S1" s="415"/>
      <c r="T1" s="444" t="s">
        <v>13</v>
      </c>
      <c r="U1" s="445"/>
    </row>
    <row r="2" spans="1:21" x14ac:dyDescent="0.2">
      <c r="A2" s="87">
        <v>1</v>
      </c>
      <c r="B2" s="446">
        <v>18</v>
      </c>
      <c r="C2" s="447"/>
      <c r="D2" s="446">
        <v>4</v>
      </c>
      <c r="E2" s="447"/>
      <c r="F2" s="455">
        <v>8</v>
      </c>
      <c r="G2" s="447"/>
      <c r="H2" s="456">
        <v>15</v>
      </c>
      <c r="I2" s="456"/>
      <c r="J2" s="455">
        <v>6</v>
      </c>
      <c r="K2" s="447"/>
      <c r="L2" s="455">
        <v>10</v>
      </c>
      <c r="M2" s="447"/>
      <c r="N2" s="454">
        <v>1</v>
      </c>
      <c r="O2" s="449"/>
      <c r="P2" s="455">
        <v>2</v>
      </c>
      <c r="Q2" s="447"/>
      <c r="R2" s="455">
        <v>25</v>
      </c>
      <c r="S2" s="447"/>
      <c r="T2" s="454">
        <v>12</v>
      </c>
      <c r="U2" s="449"/>
    </row>
    <row r="3" spans="1:21" x14ac:dyDescent="0.2">
      <c r="A3" s="87">
        <v>2</v>
      </c>
      <c r="B3" s="448">
        <v>8</v>
      </c>
      <c r="C3" s="449"/>
      <c r="D3" s="446">
        <v>10</v>
      </c>
      <c r="E3" s="447"/>
      <c r="F3" s="455">
        <v>25</v>
      </c>
      <c r="G3" s="447"/>
      <c r="H3" s="456">
        <v>8</v>
      </c>
      <c r="I3" s="456"/>
      <c r="J3" s="455">
        <v>15</v>
      </c>
      <c r="K3" s="447"/>
      <c r="L3" s="455">
        <v>2</v>
      </c>
      <c r="M3" s="447"/>
      <c r="N3" s="455">
        <v>15</v>
      </c>
      <c r="O3" s="447"/>
      <c r="P3" s="455">
        <v>1</v>
      </c>
      <c r="Q3" s="447"/>
      <c r="R3" s="454">
        <v>18</v>
      </c>
      <c r="S3" s="449"/>
      <c r="T3" s="455">
        <v>4</v>
      </c>
      <c r="U3" s="447"/>
    </row>
    <row r="4" spans="1:21" x14ac:dyDescent="0.2">
      <c r="A4" s="87">
        <v>3</v>
      </c>
      <c r="B4" s="448">
        <v>4</v>
      </c>
      <c r="C4" s="449"/>
      <c r="D4" s="446">
        <v>12</v>
      </c>
      <c r="E4" s="447"/>
      <c r="F4" s="454">
        <v>25</v>
      </c>
      <c r="G4" s="449"/>
      <c r="H4" s="446">
        <v>8</v>
      </c>
      <c r="I4" s="447"/>
      <c r="J4" s="455">
        <v>15</v>
      </c>
      <c r="K4" s="447"/>
      <c r="L4" s="457">
        <v>10</v>
      </c>
      <c r="M4" s="458"/>
      <c r="N4" s="455">
        <v>6</v>
      </c>
      <c r="O4" s="447"/>
      <c r="P4" s="454">
        <v>2</v>
      </c>
      <c r="Q4" s="449"/>
      <c r="R4" s="446">
        <v>1</v>
      </c>
      <c r="S4" s="447"/>
      <c r="T4" s="455">
        <v>18</v>
      </c>
      <c r="U4" s="447"/>
    </row>
    <row r="5" spans="1:21" x14ac:dyDescent="0.2">
      <c r="A5" s="87">
        <v>4</v>
      </c>
      <c r="B5" s="446">
        <v>18</v>
      </c>
      <c r="C5" s="447"/>
      <c r="D5" s="446">
        <v>2</v>
      </c>
      <c r="E5" s="447"/>
      <c r="F5" s="454">
        <v>18</v>
      </c>
      <c r="G5" s="449"/>
      <c r="H5" s="448">
        <v>10</v>
      </c>
      <c r="I5" s="449"/>
      <c r="J5" s="455">
        <v>4</v>
      </c>
      <c r="K5" s="447"/>
      <c r="L5" s="448">
        <v>1</v>
      </c>
      <c r="M5" s="458"/>
      <c r="N5" s="455">
        <v>12</v>
      </c>
      <c r="O5" s="447"/>
      <c r="P5" s="455">
        <v>6</v>
      </c>
      <c r="Q5" s="447"/>
      <c r="R5" s="446">
        <v>10</v>
      </c>
      <c r="S5" s="447"/>
      <c r="T5" s="455">
        <v>25</v>
      </c>
      <c r="U5" s="447"/>
    </row>
    <row r="6" spans="1:21" x14ac:dyDescent="0.2">
      <c r="A6" s="87">
        <v>5</v>
      </c>
      <c r="B6" s="446">
        <v>4</v>
      </c>
      <c r="C6" s="447"/>
      <c r="D6" s="457">
        <v>6</v>
      </c>
      <c r="E6" s="458"/>
      <c r="F6" s="455">
        <v>8</v>
      </c>
      <c r="G6" s="447"/>
      <c r="H6" s="446">
        <v>12</v>
      </c>
      <c r="I6" s="447"/>
      <c r="J6" s="455">
        <v>18</v>
      </c>
      <c r="K6" s="447"/>
      <c r="L6" s="448">
        <v>15</v>
      </c>
      <c r="M6" s="449"/>
      <c r="N6" s="457">
        <v>25</v>
      </c>
      <c r="O6" s="458"/>
      <c r="P6" s="455">
        <v>1</v>
      </c>
      <c r="Q6" s="447"/>
      <c r="R6" s="446">
        <v>10</v>
      </c>
      <c r="S6" s="447"/>
      <c r="T6" s="455">
        <v>2</v>
      </c>
      <c r="U6" s="447"/>
    </row>
    <row r="7" spans="1:21" x14ac:dyDescent="0.2">
      <c r="A7" s="87">
        <v>6</v>
      </c>
      <c r="B7" s="446">
        <v>18</v>
      </c>
      <c r="C7" s="447"/>
      <c r="D7" s="446">
        <v>15</v>
      </c>
      <c r="E7" s="447"/>
      <c r="F7" s="455">
        <v>12</v>
      </c>
      <c r="G7" s="447"/>
      <c r="H7" s="446">
        <v>2</v>
      </c>
      <c r="I7" s="447"/>
      <c r="J7" s="454">
        <v>4</v>
      </c>
      <c r="K7" s="449"/>
      <c r="L7" s="448">
        <v>8</v>
      </c>
      <c r="M7" s="449"/>
      <c r="N7" s="457">
        <v>25</v>
      </c>
      <c r="O7" s="458"/>
      <c r="P7" s="455">
        <v>6</v>
      </c>
      <c r="Q7" s="447"/>
      <c r="R7" s="446">
        <v>1</v>
      </c>
      <c r="S7" s="447"/>
      <c r="T7" s="461">
        <v>10</v>
      </c>
      <c r="U7" s="462"/>
    </row>
    <row r="8" spans="1:21" x14ac:dyDescent="0.2">
      <c r="A8" s="87">
        <v>7</v>
      </c>
      <c r="B8" s="448">
        <v>6</v>
      </c>
      <c r="C8" s="449"/>
      <c r="D8" s="454">
        <v>12</v>
      </c>
      <c r="E8" s="449"/>
      <c r="F8" s="454">
        <v>25</v>
      </c>
      <c r="G8" s="449"/>
      <c r="H8" s="446">
        <v>15</v>
      </c>
      <c r="I8" s="447"/>
      <c r="J8" s="455">
        <v>8</v>
      </c>
      <c r="K8" s="447"/>
      <c r="L8" s="446">
        <v>10</v>
      </c>
      <c r="M8" s="447"/>
      <c r="N8" s="455">
        <v>1</v>
      </c>
      <c r="O8" s="447"/>
      <c r="P8" s="455">
        <v>2</v>
      </c>
      <c r="Q8" s="447"/>
      <c r="R8" s="446">
        <v>18</v>
      </c>
      <c r="S8" s="447"/>
      <c r="T8" s="455">
        <v>6</v>
      </c>
      <c r="U8" s="447"/>
    </row>
    <row r="9" spans="1:21" x14ac:dyDescent="0.2">
      <c r="A9" s="87">
        <v>8</v>
      </c>
      <c r="B9" s="446">
        <v>1</v>
      </c>
      <c r="C9" s="447"/>
      <c r="D9" s="454">
        <v>8</v>
      </c>
      <c r="E9" s="449"/>
      <c r="F9" s="455">
        <v>10</v>
      </c>
      <c r="G9" s="447"/>
      <c r="H9" s="455">
        <v>18</v>
      </c>
      <c r="I9" s="447"/>
      <c r="J9" s="455">
        <v>25</v>
      </c>
      <c r="K9" s="447"/>
      <c r="L9" s="446">
        <v>15</v>
      </c>
      <c r="M9" s="447"/>
      <c r="N9" s="455">
        <v>2</v>
      </c>
      <c r="O9" s="447"/>
      <c r="P9" s="455">
        <v>6</v>
      </c>
      <c r="Q9" s="447"/>
      <c r="R9" s="446">
        <v>4</v>
      </c>
      <c r="S9" s="447"/>
      <c r="T9" s="455">
        <v>15</v>
      </c>
      <c r="U9" s="447"/>
    </row>
    <row r="10" spans="1:21" x14ac:dyDescent="0.2">
      <c r="A10" s="87">
        <v>9</v>
      </c>
      <c r="B10" s="448">
        <v>8</v>
      </c>
      <c r="C10" s="449"/>
      <c r="D10" s="454">
        <v>15</v>
      </c>
      <c r="E10" s="449"/>
      <c r="F10" s="455">
        <v>2</v>
      </c>
      <c r="G10" s="447"/>
      <c r="H10" s="454">
        <v>4</v>
      </c>
      <c r="I10" s="449"/>
      <c r="J10" s="455">
        <v>12</v>
      </c>
      <c r="K10" s="447"/>
      <c r="L10" s="446">
        <v>8</v>
      </c>
      <c r="M10" s="447"/>
      <c r="N10" s="455">
        <v>1</v>
      </c>
      <c r="O10" s="447"/>
      <c r="P10" s="455">
        <v>10</v>
      </c>
      <c r="Q10" s="447"/>
      <c r="R10" s="448">
        <v>18</v>
      </c>
      <c r="S10" s="449"/>
      <c r="T10" s="455">
        <v>25</v>
      </c>
      <c r="U10" s="447"/>
    </row>
    <row r="11" spans="1:21" x14ac:dyDescent="0.2">
      <c r="A11" s="87">
        <v>10</v>
      </c>
      <c r="B11" s="448">
        <v>15</v>
      </c>
      <c r="C11" s="449"/>
      <c r="D11" s="454">
        <v>18</v>
      </c>
      <c r="E11" s="449"/>
      <c r="F11" s="455">
        <v>25</v>
      </c>
      <c r="G11" s="447"/>
      <c r="H11" s="455">
        <v>2</v>
      </c>
      <c r="I11" s="447"/>
      <c r="J11" s="455">
        <v>4</v>
      </c>
      <c r="K11" s="447"/>
      <c r="L11" s="446">
        <v>2</v>
      </c>
      <c r="M11" s="447"/>
      <c r="N11" s="455">
        <v>8</v>
      </c>
      <c r="O11" s="447"/>
      <c r="P11" s="455">
        <v>6</v>
      </c>
      <c r="Q11" s="447"/>
      <c r="R11" s="446">
        <v>12</v>
      </c>
      <c r="S11" s="447"/>
      <c r="T11" s="455">
        <v>10</v>
      </c>
      <c r="U11" s="447"/>
    </row>
    <row r="12" spans="1:21" x14ac:dyDescent="0.2">
      <c r="A12" s="87">
        <v>11</v>
      </c>
      <c r="B12" s="446">
        <v>1</v>
      </c>
      <c r="C12" s="447"/>
      <c r="D12" s="454">
        <v>18</v>
      </c>
      <c r="E12" s="449"/>
      <c r="F12" s="454">
        <v>4</v>
      </c>
      <c r="G12" s="449"/>
      <c r="H12" s="455">
        <v>15</v>
      </c>
      <c r="I12" s="447"/>
      <c r="J12" s="455">
        <v>12</v>
      </c>
      <c r="K12" s="447"/>
      <c r="L12" s="446">
        <v>6</v>
      </c>
      <c r="M12" s="447"/>
      <c r="N12" s="455">
        <v>10</v>
      </c>
      <c r="O12" s="447"/>
      <c r="P12" s="454">
        <v>8</v>
      </c>
      <c r="Q12" s="449"/>
      <c r="R12" s="446">
        <v>25</v>
      </c>
      <c r="S12" s="447"/>
      <c r="T12" s="455">
        <v>2</v>
      </c>
      <c r="U12" s="447"/>
    </row>
    <row r="13" spans="1:21" x14ac:dyDescent="0.2">
      <c r="A13" s="87">
        <v>12</v>
      </c>
      <c r="B13" s="446">
        <v>4</v>
      </c>
      <c r="C13" s="447"/>
      <c r="D13" s="455">
        <v>12</v>
      </c>
      <c r="E13" s="447"/>
      <c r="F13" s="455">
        <v>15</v>
      </c>
      <c r="G13" s="447"/>
      <c r="H13" s="454">
        <v>1</v>
      </c>
      <c r="I13" s="449"/>
      <c r="J13" s="455">
        <v>25</v>
      </c>
      <c r="K13" s="447"/>
      <c r="L13" s="448">
        <v>8</v>
      </c>
      <c r="M13" s="458"/>
      <c r="N13" s="454">
        <v>12</v>
      </c>
      <c r="O13" s="449"/>
      <c r="P13" s="455">
        <v>18</v>
      </c>
      <c r="Q13" s="447"/>
      <c r="R13" s="446">
        <v>8</v>
      </c>
      <c r="S13" s="447"/>
      <c r="T13" s="455">
        <v>2</v>
      </c>
      <c r="U13" s="447"/>
    </row>
    <row r="14" spans="1:21" x14ac:dyDescent="0.2">
      <c r="A14" s="87">
        <v>13</v>
      </c>
      <c r="B14" s="448">
        <v>18</v>
      </c>
      <c r="C14" s="449"/>
      <c r="D14" s="454">
        <v>2</v>
      </c>
      <c r="E14" s="449"/>
      <c r="F14" s="455">
        <v>4</v>
      </c>
      <c r="G14" s="447"/>
      <c r="H14" s="455">
        <v>15</v>
      </c>
      <c r="I14" s="447"/>
      <c r="J14" s="455">
        <v>6</v>
      </c>
      <c r="K14" s="447"/>
      <c r="L14" s="446">
        <v>25</v>
      </c>
      <c r="M14" s="447"/>
      <c r="N14" s="455">
        <v>10</v>
      </c>
      <c r="O14" s="447"/>
      <c r="P14" s="455">
        <v>2</v>
      </c>
      <c r="Q14" s="447"/>
      <c r="R14" s="448">
        <v>10</v>
      </c>
      <c r="S14" s="449"/>
      <c r="T14" s="455">
        <v>12</v>
      </c>
      <c r="U14" s="447"/>
    </row>
    <row r="15" spans="1:21" x14ac:dyDescent="0.2">
      <c r="A15" s="87">
        <v>14</v>
      </c>
      <c r="B15" s="446">
        <v>6</v>
      </c>
      <c r="C15" s="447"/>
      <c r="D15" s="455">
        <v>10</v>
      </c>
      <c r="E15" s="447"/>
      <c r="F15" s="455">
        <v>12</v>
      </c>
      <c r="G15" s="447"/>
      <c r="H15" s="455">
        <v>2</v>
      </c>
      <c r="I15" s="447"/>
      <c r="J15" s="454">
        <v>15</v>
      </c>
      <c r="K15" s="449"/>
      <c r="L15" s="448">
        <v>4</v>
      </c>
      <c r="M15" s="458"/>
      <c r="N15" s="455">
        <v>25</v>
      </c>
      <c r="O15" s="447"/>
      <c r="P15" s="455">
        <v>1</v>
      </c>
      <c r="Q15" s="447"/>
      <c r="R15" s="446">
        <v>8</v>
      </c>
      <c r="S15" s="447"/>
      <c r="T15" s="454">
        <v>18</v>
      </c>
      <c r="U15" s="449"/>
    </row>
    <row r="16" spans="1:21" x14ac:dyDescent="0.2">
      <c r="A16" s="87">
        <v>15</v>
      </c>
      <c r="B16" s="446">
        <v>12</v>
      </c>
      <c r="C16" s="447"/>
      <c r="D16" s="454">
        <v>18</v>
      </c>
      <c r="E16" s="449"/>
      <c r="F16" s="454">
        <v>15</v>
      </c>
      <c r="G16" s="449"/>
      <c r="H16" s="455">
        <v>8</v>
      </c>
      <c r="I16" s="447"/>
      <c r="J16" s="455">
        <v>4</v>
      </c>
      <c r="K16" s="447"/>
      <c r="L16" s="446">
        <v>10</v>
      </c>
      <c r="M16" s="447"/>
      <c r="N16" s="455">
        <v>1</v>
      </c>
      <c r="O16" s="447"/>
      <c r="P16" s="455">
        <v>6</v>
      </c>
      <c r="Q16" s="447"/>
      <c r="R16" s="446">
        <v>25</v>
      </c>
      <c r="S16" s="447"/>
      <c r="T16" s="455">
        <v>2</v>
      </c>
      <c r="U16" s="447"/>
    </row>
    <row r="17" spans="1:21" x14ac:dyDescent="0.2">
      <c r="A17" s="87">
        <v>16</v>
      </c>
      <c r="B17" s="448">
        <v>15</v>
      </c>
      <c r="C17" s="458"/>
      <c r="D17" s="455">
        <v>4</v>
      </c>
      <c r="E17" s="447"/>
      <c r="F17" s="454">
        <v>4</v>
      </c>
      <c r="G17" s="449"/>
      <c r="H17" s="455">
        <v>18</v>
      </c>
      <c r="I17" s="447"/>
      <c r="J17" s="455">
        <v>25</v>
      </c>
      <c r="K17" s="447"/>
      <c r="L17" s="446">
        <v>1</v>
      </c>
      <c r="M17" s="447"/>
      <c r="N17" s="455">
        <v>15</v>
      </c>
      <c r="O17" s="447"/>
      <c r="P17" s="455">
        <v>15</v>
      </c>
      <c r="Q17" s="447"/>
      <c r="R17" s="446">
        <v>6</v>
      </c>
      <c r="S17" s="447"/>
      <c r="T17" s="455">
        <v>15</v>
      </c>
      <c r="U17" s="447"/>
    </row>
    <row r="18" spans="1:21" x14ac:dyDescent="0.2">
      <c r="A18" s="87">
        <v>17</v>
      </c>
      <c r="B18" s="446">
        <v>18</v>
      </c>
      <c r="C18" s="447"/>
      <c r="D18" s="455">
        <v>25</v>
      </c>
      <c r="E18" s="447"/>
      <c r="F18" s="455">
        <v>1</v>
      </c>
      <c r="G18" s="447"/>
      <c r="H18" s="454">
        <v>4</v>
      </c>
      <c r="I18" s="449"/>
      <c r="J18" s="454">
        <v>12</v>
      </c>
      <c r="K18" s="449"/>
      <c r="L18" s="446">
        <v>10</v>
      </c>
      <c r="M18" s="447"/>
      <c r="N18" s="455">
        <v>18</v>
      </c>
      <c r="O18" s="447"/>
      <c r="P18" s="455">
        <v>8</v>
      </c>
      <c r="Q18" s="447"/>
      <c r="R18" s="457">
        <v>8</v>
      </c>
      <c r="S18" s="458"/>
      <c r="T18" s="455">
        <v>2</v>
      </c>
      <c r="U18" s="447"/>
    </row>
    <row r="19" spans="1:21" x14ac:dyDescent="0.2">
      <c r="A19" s="87">
        <v>18</v>
      </c>
      <c r="B19" s="448">
        <v>8</v>
      </c>
      <c r="C19" s="458"/>
      <c r="D19" s="455">
        <v>15</v>
      </c>
      <c r="E19" s="447"/>
      <c r="F19" s="446">
        <v>4</v>
      </c>
      <c r="G19" s="447"/>
      <c r="H19" s="454">
        <v>10</v>
      </c>
      <c r="I19" s="449"/>
      <c r="J19" s="454">
        <v>1</v>
      </c>
      <c r="K19" s="449"/>
      <c r="L19" s="446">
        <v>6</v>
      </c>
      <c r="M19" s="447"/>
      <c r="N19" s="455">
        <v>15</v>
      </c>
      <c r="O19" s="447"/>
      <c r="P19" s="455">
        <v>2</v>
      </c>
      <c r="Q19" s="447"/>
      <c r="R19" s="455">
        <v>18</v>
      </c>
      <c r="S19" s="447"/>
      <c r="T19" s="455">
        <v>25</v>
      </c>
      <c r="U19" s="447"/>
    </row>
    <row r="20" spans="1:21" x14ac:dyDescent="0.2">
      <c r="A20" s="87">
        <v>19</v>
      </c>
      <c r="B20" s="448">
        <v>12</v>
      </c>
      <c r="C20" s="449"/>
      <c r="D20" s="455">
        <v>1</v>
      </c>
      <c r="E20" s="447"/>
      <c r="F20" s="446">
        <v>15</v>
      </c>
      <c r="G20" s="447"/>
      <c r="H20" s="454">
        <v>10</v>
      </c>
      <c r="I20" s="449"/>
      <c r="J20" s="455">
        <v>6</v>
      </c>
      <c r="K20" s="447"/>
      <c r="L20" s="448">
        <v>10</v>
      </c>
      <c r="M20" s="449"/>
      <c r="N20" s="455">
        <v>18</v>
      </c>
      <c r="O20" s="447"/>
      <c r="P20" s="455">
        <v>4</v>
      </c>
      <c r="Q20" s="447"/>
      <c r="R20" s="446">
        <v>2</v>
      </c>
      <c r="S20" s="447"/>
      <c r="T20" s="455">
        <v>25</v>
      </c>
      <c r="U20" s="447"/>
    </row>
    <row r="21" spans="1:21" x14ac:dyDescent="0.2">
      <c r="A21" s="87">
        <v>20</v>
      </c>
      <c r="B21" s="448">
        <v>6</v>
      </c>
      <c r="C21" s="449"/>
      <c r="D21" s="455">
        <v>12</v>
      </c>
      <c r="E21" s="447"/>
      <c r="F21" s="446">
        <v>15</v>
      </c>
      <c r="G21" s="447"/>
      <c r="H21" s="455">
        <v>2</v>
      </c>
      <c r="I21" s="447"/>
      <c r="J21" s="454">
        <v>8</v>
      </c>
      <c r="K21" s="449"/>
      <c r="L21" s="446">
        <v>18</v>
      </c>
      <c r="M21" s="447"/>
      <c r="N21" s="455">
        <v>4</v>
      </c>
      <c r="O21" s="447"/>
      <c r="P21" s="459">
        <v>25</v>
      </c>
      <c r="Q21" s="460"/>
      <c r="R21" s="454">
        <v>10</v>
      </c>
      <c r="S21" s="449"/>
      <c r="T21" s="454">
        <v>1</v>
      </c>
      <c r="U21" s="449"/>
    </row>
    <row r="22" spans="1:21" x14ac:dyDescent="0.2">
      <c r="A22" s="87">
        <v>21</v>
      </c>
      <c r="B22" s="457">
        <v>1</v>
      </c>
      <c r="C22" s="458"/>
      <c r="D22" s="455">
        <v>6</v>
      </c>
      <c r="E22" s="447"/>
      <c r="F22" s="446">
        <v>18</v>
      </c>
      <c r="G22" s="447"/>
      <c r="H22" s="455">
        <v>4</v>
      </c>
      <c r="I22" s="447"/>
      <c r="J22" s="454">
        <v>25</v>
      </c>
      <c r="K22" s="449"/>
      <c r="L22" s="446">
        <v>8</v>
      </c>
      <c r="M22" s="447"/>
      <c r="N22" s="454">
        <v>10</v>
      </c>
      <c r="O22" s="449"/>
      <c r="P22" s="446">
        <v>15</v>
      </c>
      <c r="Q22" s="447"/>
      <c r="R22" s="446">
        <v>2</v>
      </c>
      <c r="S22" s="447"/>
      <c r="T22" s="455">
        <v>12</v>
      </c>
      <c r="U22" s="447"/>
    </row>
    <row r="23" spans="1:21" x14ac:dyDescent="0.2">
      <c r="A23" s="87">
        <v>22</v>
      </c>
      <c r="B23" s="456">
        <v>18</v>
      </c>
      <c r="C23" s="447"/>
      <c r="D23" s="455">
        <v>4</v>
      </c>
      <c r="E23" s="447"/>
      <c r="F23" s="446">
        <v>10</v>
      </c>
      <c r="G23" s="447"/>
      <c r="H23" s="455">
        <v>12</v>
      </c>
      <c r="I23" s="447"/>
      <c r="J23" s="454">
        <v>25</v>
      </c>
      <c r="K23" s="449"/>
      <c r="L23" s="446">
        <v>4</v>
      </c>
      <c r="M23" s="447"/>
      <c r="N23" s="454">
        <v>1</v>
      </c>
      <c r="O23" s="449"/>
      <c r="P23" s="455">
        <v>15</v>
      </c>
      <c r="Q23" s="447"/>
      <c r="R23" s="448">
        <v>6</v>
      </c>
      <c r="S23" s="449"/>
      <c r="T23" s="455">
        <v>10</v>
      </c>
      <c r="U23" s="447"/>
    </row>
    <row r="24" spans="1:21" x14ac:dyDescent="0.2">
      <c r="A24" s="87">
        <v>23</v>
      </c>
      <c r="B24" s="456">
        <v>8</v>
      </c>
      <c r="C24" s="447"/>
      <c r="D24" s="455">
        <v>1</v>
      </c>
      <c r="E24" s="447"/>
      <c r="F24" s="454">
        <v>12</v>
      </c>
      <c r="G24" s="449"/>
      <c r="H24" s="455">
        <v>10</v>
      </c>
      <c r="I24" s="447"/>
      <c r="J24" s="455">
        <v>18</v>
      </c>
      <c r="K24" s="447"/>
      <c r="L24" s="446">
        <v>6</v>
      </c>
      <c r="M24" s="447"/>
      <c r="N24" s="454">
        <v>4</v>
      </c>
      <c r="O24" s="449"/>
      <c r="P24" s="454">
        <v>25</v>
      </c>
      <c r="Q24" s="449"/>
      <c r="R24" s="446">
        <v>2</v>
      </c>
      <c r="S24" s="447"/>
      <c r="T24" s="455">
        <v>18</v>
      </c>
      <c r="U24" s="447"/>
    </row>
    <row r="25" spans="1:21" x14ac:dyDescent="0.2">
      <c r="A25" s="87">
        <v>24</v>
      </c>
      <c r="B25" s="457">
        <v>4</v>
      </c>
      <c r="C25" s="449"/>
      <c r="D25" s="457">
        <v>18</v>
      </c>
      <c r="E25" s="458"/>
      <c r="F25" s="455">
        <v>1</v>
      </c>
      <c r="G25" s="447"/>
      <c r="H25" s="454">
        <v>10</v>
      </c>
      <c r="I25" s="449"/>
      <c r="J25" s="446">
        <v>25</v>
      </c>
      <c r="K25" s="447"/>
      <c r="L25" s="455">
        <v>12</v>
      </c>
      <c r="M25" s="447"/>
      <c r="N25" s="455">
        <v>15</v>
      </c>
      <c r="O25" s="447"/>
      <c r="P25" s="455">
        <v>6</v>
      </c>
      <c r="Q25" s="447"/>
      <c r="R25" s="446">
        <v>4</v>
      </c>
      <c r="S25" s="447"/>
      <c r="T25" s="455">
        <v>8</v>
      </c>
      <c r="U25" s="447"/>
    </row>
    <row r="26" spans="1:21" x14ac:dyDescent="0.2">
      <c r="A26" s="87">
        <v>25</v>
      </c>
      <c r="B26" s="456">
        <v>10</v>
      </c>
      <c r="C26" s="447"/>
      <c r="D26" s="455">
        <v>12</v>
      </c>
      <c r="E26" s="447"/>
      <c r="F26" s="454">
        <v>18</v>
      </c>
      <c r="G26" s="449"/>
      <c r="H26" s="455">
        <v>1</v>
      </c>
      <c r="I26" s="447"/>
      <c r="J26" s="448">
        <v>4</v>
      </c>
      <c r="K26" s="449"/>
      <c r="L26" s="454">
        <v>6</v>
      </c>
      <c r="M26" s="449"/>
      <c r="N26" s="446">
        <v>8</v>
      </c>
      <c r="O26" s="456"/>
      <c r="P26" s="455">
        <v>25</v>
      </c>
      <c r="Q26" s="447"/>
      <c r="R26" s="457">
        <v>15</v>
      </c>
      <c r="S26" s="458"/>
      <c r="T26" s="455">
        <v>2</v>
      </c>
      <c r="U26" s="447"/>
    </row>
    <row r="27" spans="1:21" x14ac:dyDescent="0.2">
      <c r="A27" s="87">
        <v>26</v>
      </c>
      <c r="B27" s="456">
        <v>6</v>
      </c>
      <c r="C27" s="447"/>
      <c r="D27" s="455">
        <v>1</v>
      </c>
      <c r="E27" s="447"/>
      <c r="F27" s="455">
        <v>4</v>
      </c>
      <c r="G27" s="447"/>
      <c r="H27" s="454">
        <v>25</v>
      </c>
      <c r="I27" s="449"/>
      <c r="J27" s="454">
        <v>15</v>
      </c>
      <c r="K27" s="449"/>
      <c r="L27" s="454">
        <v>10</v>
      </c>
      <c r="M27" s="449"/>
      <c r="N27" s="448">
        <v>8</v>
      </c>
      <c r="O27" s="458"/>
      <c r="P27" s="455">
        <v>2</v>
      </c>
      <c r="Q27" s="447"/>
      <c r="R27" s="456">
        <v>18</v>
      </c>
      <c r="S27" s="456"/>
      <c r="T27" s="455">
        <v>15</v>
      </c>
      <c r="U27" s="447"/>
    </row>
    <row r="28" spans="1:21" x14ac:dyDescent="0.2">
      <c r="A28" s="87">
        <v>27</v>
      </c>
      <c r="B28" s="456">
        <v>6</v>
      </c>
      <c r="C28" s="447"/>
      <c r="D28" s="455">
        <v>18</v>
      </c>
      <c r="E28" s="447"/>
      <c r="F28" s="456">
        <v>10</v>
      </c>
      <c r="G28" s="456"/>
      <c r="H28" s="455">
        <v>1</v>
      </c>
      <c r="I28" s="447"/>
      <c r="J28" s="455">
        <v>4</v>
      </c>
      <c r="K28" s="447"/>
      <c r="L28" s="455">
        <v>15</v>
      </c>
      <c r="M28" s="447"/>
      <c r="N28" s="446">
        <v>25</v>
      </c>
      <c r="O28" s="447"/>
      <c r="P28" s="455">
        <v>8</v>
      </c>
      <c r="Q28" s="447"/>
      <c r="R28" s="454">
        <v>4</v>
      </c>
      <c r="S28" s="449"/>
      <c r="T28" s="454">
        <v>12</v>
      </c>
      <c r="U28" s="449"/>
    </row>
    <row r="29" spans="1:21" x14ac:dyDescent="0.2">
      <c r="A29" s="87">
        <v>28</v>
      </c>
      <c r="B29" s="456">
        <v>8</v>
      </c>
      <c r="C29" s="447"/>
      <c r="D29" s="446">
        <v>25</v>
      </c>
      <c r="E29" s="447"/>
      <c r="F29" s="455">
        <v>1</v>
      </c>
      <c r="G29" s="447"/>
      <c r="H29" s="454">
        <v>6</v>
      </c>
      <c r="I29" s="449"/>
      <c r="J29" s="455">
        <v>15</v>
      </c>
      <c r="K29" s="447"/>
      <c r="L29" s="455">
        <v>2</v>
      </c>
      <c r="M29" s="447"/>
      <c r="N29" s="448">
        <v>12</v>
      </c>
      <c r="O29" s="458"/>
      <c r="P29" s="455">
        <v>18</v>
      </c>
      <c r="Q29" s="447"/>
      <c r="R29" s="456">
        <v>10</v>
      </c>
      <c r="S29" s="456"/>
      <c r="T29" s="455">
        <v>4</v>
      </c>
      <c r="U29" s="447"/>
    </row>
    <row r="30" spans="1:21" x14ac:dyDescent="0.2">
      <c r="A30" s="87">
        <v>29</v>
      </c>
      <c r="B30" s="456">
        <v>4</v>
      </c>
      <c r="C30" s="447"/>
      <c r="D30" s="446">
        <v>15</v>
      </c>
      <c r="E30" s="456"/>
      <c r="F30" s="455">
        <v>10</v>
      </c>
      <c r="G30" s="447"/>
      <c r="H30" s="455">
        <v>12</v>
      </c>
      <c r="I30" s="447"/>
      <c r="J30" s="455">
        <v>25</v>
      </c>
      <c r="K30" s="447"/>
      <c r="L30" s="455">
        <v>2</v>
      </c>
      <c r="M30" s="447"/>
      <c r="N30" s="446">
        <v>6</v>
      </c>
      <c r="O30" s="447"/>
      <c r="P30" s="455">
        <v>8</v>
      </c>
      <c r="Q30" s="447"/>
      <c r="R30" s="455">
        <v>1</v>
      </c>
      <c r="S30" s="447"/>
      <c r="T30" s="455">
        <v>18</v>
      </c>
      <c r="U30" s="447"/>
    </row>
    <row r="31" spans="1:21" x14ac:dyDescent="0.2">
      <c r="A31" s="87">
        <v>30</v>
      </c>
      <c r="B31" s="456">
        <v>4</v>
      </c>
      <c r="C31" s="447"/>
      <c r="D31" s="455">
        <v>12</v>
      </c>
      <c r="E31" s="447"/>
      <c r="F31" s="455">
        <v>10</v>
      </c>
      <c r="G31" s="447"/>
      <c r="H31" s="455">
        <v>18</v>
      </c>
      <c r="I31" s="447"/>
      <c r="J31" s="455">
        <v>8</v>
      </c>
      <c r="K31" s="447"/>
      <c r="L31" s="455">
        <v>15</v>
      </c>
      <c r="M31" s="447"/>
      <c r="N31" s="446">
        <v>1</v>
      </c>
      <c r="O31" s="447"/>
      <c r="P31" s="455">
        <v>25</v>
      </c>
      <c r="Q31" s="447"/>
      <c r="R31" s="455">
        <v>4</v>
      </c>
      <c r="S31" s="447"/>
      <c r="T31" s="455">
        <v>8</v>
      </c>
      <c r="U31" s="447"/>
    </row>
    <row r="32" spans="1:21" x14ac:dyDescent="0.2">
      <c r="A32" s="87">
        <v>31</v>
      </c>
      <c r="B32" s="456">
        <v>1</v>
      </c>
      <c r="C32" s="447"/>
      <c r="D32" s="455">
        <v>12</v>
      </c>
      <c r="E32" s="447"/>
      <c r="F32" s="446">
        <v>25</v>
      </c>
      <c r="G32" s="456"/>
      <c r="H32" s="455">
        <v>8</v>
      </c>
      <c r="I32" s="447"/>
      <c r="J32" s="455">
        <v>25</v>
      </c>
      <c r="K32" s="447"/>
      <c r="L32" s="455">
        <v>10</v>
      </c>
      <c r="M32" s="447"/>
      <c r="N32" s="446">
        <v>6</v>
      </c>
      <c r="O32" s="447"/>
      <c r="P32" s="455">
        <v>15</v>
      </c>
      <c r="Q32" s="447"/>
      <c r="R32" s="455">
        <v>4</v>
      </c>
      <c r="S32" s="447"/>
      <c r="T32" s="455">
        <v>2</v>
      </c>
      <c r="U32" s="447"/>
    </row>
    <row r="33" spans="1:21" x14ac:dyDescent="0.2">
      <c r="A33" s="87">
        <v>32</v>
      </c>
      <c r="B33" s="456">
        <v>6</v>
      </c>
      <c r="C33" s="456"/>
      <c r="D33" s="455">
        <v>8</v>
      </c>
      <c r="E33" s="447"/>
      <c r="F33" s="446">
        <v>15</v>
      </c>
      <c r="G33" s="447"/>
      <c r="H33" s="455">
        <v>1</v>
      </c>
      <c r="I33" s="447"/>
      <c r="J33" s="455">
        <v>18</v>
      </c>
      <c r="K33" s="447"/>
      <c r="L33" s="455">
        <v>2</v>
      </c>
      <c r="M33" s="447"/>
      <c r="N33" s="446">
        <v>25</v>
      </c>
      <c r="O33" s="447"/>
      <c r="P33" s="455">
        <v>10</v>
      </c>
      <c r="Q33" s="447"/>
      <c r="R33" s="456">
        <v>4</v>
      </c>
      <c r="S33" s="456"/>
      <c r="T33" s="455">
        <v>12</v>
      </c>
      <c r="U33" s="447"/>
    </row>
    <row r="34" spans="1:21" x14ac:dyDescent="0.2">
      <c r="A34" s="87">
        <v>33</v>
      </c>
      <c r="B34" s="456">
        <v>2</v>
      </c>
      <c r="C34" s="447"/>
      <c r="D34" s="455">
        <v>10</v>
      </c>
      <c r="E34" s="447"/>
      <c r="F34" s="456">
        <v>12</v>
      </c>
      <c r="G34" s="456"/>
      <c r="H34" s="455">
        <v>6</v>
      </c>
      <c r="I34" s="447"/>
      <c r="J34" s="455">
        <v>18</v>
      </c>
      <c r="K34" s="447"/>
      <c r="L34" s="455">
        <v>4</v>
      </c>
      <c r="M34" s="447"/>
      <c r="N34" s="455">
        <v>25</v>
      </c>
      <c r="O34" s="447"/>
      <c r="P34" s="456">
        <v>15</v>
      </c>
      <c r="Q34" s="456"/>
      <c r="R34" s="455">
        <v>1</v>
      </c>
      <c r="S34" s="447"/>
      <c r="T34" s="455">
        <v>8</v>
      </c>
      <c r="U34" s="447"/>
    </row>
    <row r="35" spans="1:21" x14ac:dyDescent="0.2">
      <c r="A35" s="87">
        <v>34</v>
      </c>
      <c r="B35" s="456">
        <v>8</v>
      </c>
      <c r="C35" s="447"/>
      <c r="D35" s="455">
        <v>25</v>
      </c>
      <c r="E35" s="447"/>
      <c r="F35" s="456">
        <v>15</v>
      </c>
      <c r="G35" s="456"/>
      <c r="H35" s="455">
        <v>1</v>
      </c>
      <c r="I35" s="447"/>
      <c r="J35" s="455">
        <v>6</v>
      </c>
      <c r="K35" s="447"/>
      <c r="L35" s="455">
        <v>10</v>
      </c>
      <c r="M35" s="447"/>
      <c r="N35" s="455">
        <v>2</v>
      </c>
      <c r="O35" s="447"/>
      <c r="P35" s="456">
        <v>4</v>
      </c>
      <c r="Q35" s="456"/>
      <c r="R35" s="455">
        <v>12</v>
      </c>
      <c r="S35" s="447"/>
      <c r="T35" s="455">
        <v>18</v>
      </c>
      <c r="U35" s="447"/>
    </row>
    <row r="36" spans="1:21" x14ac:dyDescent="0.2">
      <c r="A36" s="87">
        <v>35</v>
      </c>
      <c r="B36" s="456">
        <v>18</v>
      </c>
      <c r="C36" s="447"/>
      <c r="D36" s="456">
        <v>4</v>
      </c>
      <c r="E36" s="456"/>
      <c r="F36" s="455">
        <v>6</v>
      </c>
      <c r="G36" s="447"/>
      <c r="H36" s="455">
        <v>1</v>
      </c>
      <c r="I36" s="447"/>
      <c r="J36" s="456">
        <v>25</v>
      </c>
      <c r="K36" s="456"/>
      <c r="L36" s="455">
        <v>2</v>
      </c>
      <c r="M36" s="447"/>
      <c r="N36" s="455">
        <v>8</v>
      </c>
      <c r="O36" s="447"/>
      <c r="P36" s="455">
        <v>15</v>
      </c>
      <c r="Q36" s="447"/>
      <c r="R36" s="455">
        <v>12</v>
      </c>
      <c r="S36" s="447"/>
      <c r="T36" s="455">
        <v>10</v>
      </c>
      <c r="U36" s="447"/>
    </row>
    <row r="37" spans="1:21" x14ac:dyDescent="0.2">
      <c r="A37" s="87">
        <v>36</v>
      </c>
      <c r="B37" s="456"/>
      <c r="C37" s="447"/>
      <c r="D37" s="456"/>
      <c r="E37" s="456"/>
      <c r="F37" s="455"/>
      <c r="G37" s="447"/>
      <c r="H37" s="456"/>
      <c r="I37" s="456"/>
      <c r="J37" s="455"/>
      <c r="K37" s="447"/>
      <c r="L37" s="455"/>
      <c r="M37" s="447"/>
      <c r="N37" s="455"/>
      <c r="O37" s="447"/>
      <c r="P37" s="455"/>
      <c r="Q37" s="447"/>
      <c r="R37" s="455"/>
      <c r="S37" s="447"/>
      <c r="T37" s="455"/>
      <c r="U37" s="447"/>
    </row>
    <row r="38" spans="1:21" ht="15" x14ac:dyDescent="0.25">
      <c r="A38" s="88" t="s">
        <v>270</v>
      </c>
      <c r="B38" s="465">
        <f>SUM(B2:C37)</f>
        <v>304</v>
      </c>
      <c r="C38" s="464"/>
      <c r="D38" s="463">
        <f>SUM(D2:E37)</f>
        <v>390</v>
      </c>
      <c r="E38" s="464"/>
      <c r="F38" s="463">
        <f t="shared" ref="F38" si="0">SUM(F2:G37)</f>
        <v>414</v>
      </c>
      <c r="G38" s="464"/>
      <c r="H38" s="463">
        <f t="shared" ref="H38" si="1">SUM(H2:I37)</f>
        <v>295</v>
      </c>
      <c r="I38" s="464"/>
      <c r="J38" s="463">
        <f t="shared" ref="J38" si="2">SUM(J2:K37)</f>
        <v>481</v>
      </c>
      <c r="K38" s="464"/>
      <c r="L38" s="463">
        <f t="shared" ref="L38" si="3">SUM(L2:M37)</f>
        <v>287</v>
      </c>
      <c r="M38" s="464"/>
      <c r="N38" s="463">
        <f t="shared" ref="N38" si="4">SUM(N2:O37)</f>
        <v>380</v>
      </c>
      <c r="O38" s="464"/>
      <c r="P38" s="463">
        <f t="shared" ref="P38" si="5">SUM(P2:Q37)</f>
        <v>337</v>
      </c>
      <c r="Q38" s="464"/>
      <c r="R38" s="463">
        <f t="shared" ref="R38" si="6">SUM(R2:S37)</f>
        <v>336</v>
      </c>
      <c r="S38" s="464"/>
      <c r="T38" s="463">
        <f t="shared" ref="T38" si="7">SUM(T2:U37)</f>
        <v>388</v>
      </c>
      <c r="U38" s="464"/>
    </row>
    <row r="66" spans="1:21" ht="15" x14ac:dyDescent="0.25">
      <c r="A66" s="93" t="s">
        <v>306</v>
      </c>
      <c r="B66" s="440">
        <f>COUNTIF(B2:C37,25)</f>
        <v>0</v>
      </c>
      <c r="C66" s="440"/>
      <c r="D66" s="440">
        <f t="shared" ref="D66" si="8">COUNTIF(D2:E37,25)</f>
        <v>3</v>
      </c>
      <c r="E66" s="440"/>
      <c r="F66" s="440">
        <f t="shared" ref="F66" si="9">COUNTIF(F2:G37,25)</f>
        <v>5</v>
      </c>
      <c r="G66" s="440"/>
      <c r="H66" s="440">
        <f t="shared" ref="H66" si="10">COUNTIF(H2:I37,25)</f>
        <v>1</v>
      </c>
      <c r="I66" s="440"/>
      <c r="J66" s="440">
        <f t="shared" ref="J66" si="11">COUNTIF(J2:K37,25)</f>
        <v>9</v>
      </c>
      <c r="K66" s="440"/>
      <c r="L66" s="440">
        <f t="shared" ref="L66" si="12">COUNTIF(L2:M37,25)</f>
        <v>1</v>
      </c>
      <c r="M66" s="440"/>
      <c r="N66" s="440">
        <f t="shared" ref="N66" si="13">COUNTIF(N2:O37,25)</f>
        <v>6</v>
      </c>
      <c r="O66" s="440"/>
      <c r="P66" s="440">
        <f t="shared" ref="P66" si="14">COUNTIF(P2:Q37,25)</f>
        <v>4</v>
      </c>
      <c r="Q66" s="440"/>
      <c r="R66" s="440">
        <f t="shared" ref="R66" si="15">COUNTIF(R2:S37,25)</f>
        <v>3</v>
      </c>
      <c r="S66" s="440"/>
      <c r="T66" s="440">
        <f t="shared" ref="T66" si="16">COUNTIF(T2:U37,25)</f>
        <v>4</v>
      </c>
      <c r="U66" s="440"/>
    </row>
    <row r="67" spans="1:21" ht="15" x14ac:dyDescent="0.25">
      <c r="A67" s="94" t="s">
        <v>307</v>
      </c>
      <c r="B67" s="440">
        <f>COUNTIF(B2:C37,18)</f>
        <v>7</v>
      </c>
      <c r="C67" s="440"/>
      <c r="D67" s="440">
        <f t="shared" ref="D67" si="17">COUNTIF(D2:E37,18)</f>
        <v>5</v>
      </c>
      <c r="E67" s="440"/>
      <c r="F67" s="440">
        <f t="shared" ref="F67" si="18">COUNTIF(F2:G37,18)</f>
        <v>3</v>
      </c>
      <c r="G67" s="440"/>
      <c r="H67" s="440">
        <f t="shared" ref="H67" si="19">COUNTIF(H2:I37,18)</f>
        <v>3</v>
      </c>
      <c r="I67" s="440"/>
      <c r="J67" s="440">
        <f t="shared" ref="J67" si="20">COUNTIF(J2:K37,18)</f>
        <v>4</v>
      </c>
      <c r="K67" s="440"/>
      <c r="L67" s="440">
        <f t="shared" ref="L67" si="21">COUNTIF(L2:M37,18)</f>
        <v>1</v>
      </c>
      <c r="M67" s="440"/>
      <c r="N67" s="440">
        <f t="shared" ref="N67" si="22">COUNTIF(N2:O37,18)</f>
        <v>2</v>
      </c>
      <c r="O67" s="440"/>
      <c r="P67" s="440">
        <f t="shared" ref="P67" si="23">COUNTIF(P2:Q37,18)</f>
        <v>2</v>
      </c>
      <c r="Q67" s="440"/>
      <c r="R67" s="440">
        <f t="shared" ref="R67" si="24">COUNTIF(R2:S37,18)</f>
        <v>5</v>
      </c>
      <c r="S67" s="440"/>
      <c r="T67" s="440">
        <f t="shared" ref="T67" si="25">COUNTIF(T2:U37,18)</f>
        <v>5</v>
      </c>
      <c r="U67" s="440"/>
    </row>
    <row r="68" spans="1:21" ht="15" x14ac:dyDescent="0.25">
      <c r="A68" s="95" t="s">
        <v>308</v>
      </c>
      <c r="B68" s="440">
        <f>COUNTIF(B2:C37,15)</f>
        <v>2</v>
      </c>
      <c r="C68" s="440"/>
      <c r="D68" s="440">
        <f t="shared" ref="D68" si="26">COUNTIF(D2:E37,15)</f>
        <v>4</v>
      </c>
      <c r="E68" s="440"/>
      <c r="F68" s="440">
        <f t="shared" ref="F68" si="27">COUNTIF(F2:G37,15)</f>
        <v>6</v>
      </c>
      <c r="G68" s="440"/>
      <c r="H68" s="440">
        <f t="shared" ref="H68" si="28">COUNTIF(H2:I37,15)</f>
        <v>4</v>
      </c>
      <c r="I68" s="440"/>
      <c r="J68" s="440">
        <f t="shared" ref="J68" si="29">COUNTIF(J2:K37,15)</f>
        <v>5</v>
      </c>
      <c r="K68" s="440"/>
      <c r="L68" s="440">
        <f t="shared" ref="L68" si="30">COUNTIF(L2:M37,15)</f>
        <v>4</v>
      </c>
      <c r="M68" s="440"/>
      <c r="N68" s="440">
        <f t="shared" ref="N68" si="31">COUNTIF(N2:O37,15)</f>
        <v>4</v>
      </c>
      <c r="O68" s="440"/>
      <c r="P68" s="440">
        <f t="shared" ref="P68" si="32">COUNTIF(P2:Q37,15)</f>
        <v>6</v>
      </c>
      <c r="Q68" s="440"/>
      <c r="R68" s="440">
        <f t="shared" ref="R68" si="33">COUNTIF(R2:S37,15)</f>
        <v>1</v>
      </c>
      <c r="S68" s="440"/>
      <c r="T68" s="440">
        <f t="shared" ref="T68" si="34">COUNTIF(T2:U37,15)</f>
        <v>3</v>
      </c>
      <c r="U68" s="440"/>
    </row>
  </sheetData>
  <sortState ref="A1:U37">
    <sortCondition descending="1" ref="B1"/>
  </sortState>
  <mergeCells count="410">
    <mergeCell ref="T38:U38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2:U32"/>
    <mergeCell ref="T33:U33"/>
    <mergeCell ref="T34:U34"/>
    <mergeCell ref="T35:U35"/>
    <mergeCell ref="T36:U36"/>
    <mergeCell ref="T37:U37"/>
    <mergeCell ref="T26:U26"/>
    <mergeCell ref="T27:U27"/>
    <mergeCell ref="T28:U28"/>
    <mergeCell ref="T29:U29"/>
    <mergeCell ref="T30:U30"/>
    <mergeCell ref="T31:U31"/>
    <mergeCell ref="T20:U20"/>
    <mergeCell ref="T21:U21"/>
    <mergeCell ref="T22:U22"/>
    <mergeCell ref="T23:U23"/>
    <mergeCell ref="T24:U24"/>
    <mergeCell ref="T25:U25"/>
    <mergeCell ref="T14:U14"/>
    <mergeCell ref="T15:U15"/>
    <mergeCell ref="T16:U16"/>
    <mergeCell ref="T17:U17"/>
    <mergeCell ref="T18:U18"/>
    <mergeCell ref="T19:U19"/>
    <mergeCell ref="T8:U8"/>
    <mergeCell ref="T9:U9"/>
    <mergeCell ref="T10:U10"/>
    <mergeCell ref="T11:U11"/>
    <mergeCell ref="T12:U12"/>
    <mergeCell ref="T13:U13"/>
    <mergeCell ref="T2:U2"/>
    <mergeCell ref="T3:U3"/>
    <mergeCell ref="T4:U4"/>
    <mergeCell ref="T5:U5"/>
    <mergeCell ref="T6:U6"/>
    <mergeCell ref="T7:U7"/>
    <mergeCell ref="R32:S32"/>
    <mergeCell ref="R33:S33"/>
    <mergeCell ref="R34:S34"/>
    <mergeCell ref="R35:S35"/>
    <mergeCell ref="R36:S36"/>
    <mergeCell ref="R37:S37"/>
    <mergeCell ref="R26:S26"/>
    <mergeCell ref="R27:S27"/>
    <mergeCell ref="R28:S28"/>
    <mergeCell ref="R29:S29"/>
    <mergeCell ref="R30:S30"/>
    <mergeCell ref="R31:S31"/>
    <mergeCell ref="R20:S20"/>
    <mergeCell ref="R21:S21"/>
    <mergeCell ref="R22:S22"/>
    <mergeCell ref="R23:S23"/>
    <mergeCell ref="R24:S24"/>
    <mergeCell ref="R25:S25"/>
    <mergeCell ref="R14:S14"/>
    <mergeCell ref="R15:S15"/>
    <mergeCell ref="R16:S16"/>
    <mergeCell ref="R17:S17"/>
    <mergeCell ref="R18:S18"/>
    <mergeCell ref="R19:S19"/>
    <mergeCell ref="R8:S8"/>
    <mergeCell ref="R9:S9"/>
    <mergeCell ref="R10:S10"/>
    <mergeCell ref="R11:S11"/>
    <mergeCell ref="R12:S12"/>
    <mergeCell ref="R13:S13"/>
    <mergeCell ref="R2:S2"/>
    <mergeCell ref="R3:S3"/>
    <mergeCell ref="R4:S4"/>
    <mergeCell ref="R5:S5"/>
    <mergeCell ref="R6:S6"/>
    <mergeCell ref="R7:S7"/>
    <mergeCell ref="P18:Q18"/>
    <mergeCell ref="P19:Q19"/>
    <mergeCell ref="P32:Q32"/>
    <mergeCell ref="P33:Q33"/>
    <mergeCell ref="P34:Q34"/>
    <mergeCell ref="P35:Q35"/>
    <mergeCell ref="P36:Q36"/>
    <mergeCell ref="P37:Q37"/>
    <mergeCell ref="P26:Q26"/>
    <mergeCell ref="P27:Q27"/>
    <mergeCell ref="P28:Q28"/>
    <mergeCell ref="P29:Q29"/>
    <mergeCell ref="P30:Q30"/>
    <mergeCell ref="P31:Q31"/>
    <mergeCell ref="N30:O30"/>
    <mergeCell ref="N31:O31"/>
    <mergeCell ref="P8:Q8"/>
    <mergeCell ref="P9:Q9"/>
    <mergeCell ref="P10:Q10"/>
    <mergeCell ref="P11:Q11"/>
    <mergeCell ref="P12:Q12"/>
    <mergeCell ref="P13:Q13"/>
    <mergeCell ref="P2:Q2"/>
    <mergeCell ref="P3:Q3"/>
    <mergeCell ref="P4:Q4"/>
    <mergeCell ref="P5:Q5"/>
    <mergeCell ref="P6:Q6"/>
    <mergeCell ref="P7:Q7"/>
    <mergeCell ref="P20:Q20"/>
    <mergeCell ref="P21:Q21"/>
    <mergeCell ref="P22:Q22"/>
    <mergeCell ref="P23:Q23"/>
    <mergeCell ref="P24:Q24"/>
    <mergeCell ref="P25:Q25"/>
    <mergeCell ref="P14:Q14"/>
    <mergeCell ref="P15:Q15"/>
    <mergeCell ref="P16:Q16"/>
    <mergeCell ref="P17:Q17"/>
    <mergeCell ref="N4:O4"/>
    <mergeCell ref="N5:O5"/>
    <mergeCell ref="N6:O6"/>
    <mergeCell ref="N7:O7"/>
    <mergeCell ref="N20:O20"/>
    <mergeCell ref="N21:O21"/>
    <mergeCell ref="N22:O22"/>
    <mergeCell ref="N23:O23"/>
    <mergeCell ref="N24:O24"/>
    <mergeCell ref="N14:O14"/>
    <mergeCell ref="N15:O15"/>
    <mergeCell ref="N16:O16"/>
    <mergeCell ref="N17:O17"/>
    <mergeCell ref="N18:O18"/>
    <mergeCell ref="N19:O19"/>
    <mergeCell ref="L37:M37"/>
    <mergeCell ref="L26:M26"/>
    <mergeCell ref="L27:M27"/>
    <mergeCell ref="L28:M28"/>
    <mergeCell ref="L29:M29"/>
    <mergeCell ref="L30:M30"/>
    <mergeCell ref="L31:M31"/>
    <mergeCell ref="N8:O8"/>
    <mergeCell ref="N9:O9"/>
    <mergeCell ref="N10:O10"/>
    <mergeCell ref="N11:O11"/>
    <mergeCell ref="N12:O12"/>
    <mergeCell ref="N13:O13"/>
    <mergeCell ref="N25:O25"/>
    <mergeCell ref="N32:O32"/>
    <mergeCell ref="N33:O33"/>
    <mergeCell ref="N34:O34"/>
    <mergeCell ref="N35:O35"/>
    <mergeCell ref="N36:O36"/>
    <mergeCell ref="N37:O37"/>
    <mergeCell ref="N26:O26"/>
    <mergeCell ref="N27:O27"/>
    <mergeCell ref="N28:O28"/>
    <mergeCell ref="N29:O29"/>
    <mergeCell ref="L16:M16"/>
    <mergeCell ref="L17:M17"/>
    <mergeCell ref="L18:M18"/>
    <mergeCell ref="L19:M19"/>
    <mergeCell ref="L32:M32"/>
    <mergeCell ref="L33:M33"/>
    <mergeCell ref="L34:M34"/>
    <mergeCell ref="L35:M35"/>
    <mergeCell ref="L36:M36"/>
    <mergeCell ref="L8:M8"/>
    <mergeCell ref="L9:M9"/>
    <mergeCell ref="L10:M10"/>
    <mergeCell ref="L11:M11"/>
    <mergeCell ref="L12:M12"/>
    <mergeCell ref="L13:M13"/>
    <mergeCell ref="J34:K34"/>
    <mergeCell ref="J35:K35"/>
    <mergeCell ref="J36:K36"/>
    <mergeCell ref="J21:K21"/>
    <mergeCell ref="J10:K10"/>
    <mergeCell ref="J11:K11"/>
    <mergeCell ref="J12:K12"/>
    <mergeCell ref="J13:K13"/>
    <mergeCell ref="J14:K14"/>
    <mergeCell ref="J15:K15"/>
    <mergeCell ref="L20:M20"/>
    <mergeCell ref="L21:M21"/>
    <mergeCell ref="L22:M22"/>
    <mergeCell ref="L23:M23"/>
    <mergeCell ref="L24:M24"/>
    <mergeCell ref="L25:M25"/>
    <mergeCell ref="L14:M14"/>
    <mergeCell ref="L15:M15"/>
    <mergeCell ref="J37:K37"/>
    <mergeCell ref="L2:M2"/>
    <mergeCell ref="L3:M3"/>
    <mergeCell ref="L4:M4"/>
    <mergeCell ref="L5:M5"/>
    <mergeCell ref="L6:M6"/>
    <mergeCell ref="L7:M7"/>
    <mergeCell ref="J28:K28"/>
    <mergeCell ref="J29:K29"/>
    <mergeCell ref="J30:K30"/>
    <mergeCell ref="J31:K31"/>
    <mergeCell ref="J32:K32"/>
    <mergeCell ref="J33:K33"/>
    <mergeCell ref="J22:K22"/>
    <mergeCell ref="J23:K23"/>
    <mergeCell ref="J24:K24"/>
    <mergeCell ref="J25:K25"/>
    <mergeCell ref="J26:K26"/>
    <mergeCell ref="J27:K27"/>
    <mergeCell ref="J16:K16"/>
    <mergeCell ref="J17:K17"/>
    <mergeCell ref="J18:K18"/>
    <mergeCell ref="J19:K19"/>
    <mergeCell ref="J20:K20"/>
    <mergeCell ref="J7:K7"/>
    <mergeCell ref="J8:K8"/>
    <mergeCell ref="J9:K9"/>
    <mergeCell ref="H14:I14"/>
    <mergeCell ref="H15:I15"/>
    <mergeCell ref="H16:I16"/>
    <mergeCell ref="H32:I32"/>
    <mergeCell ref="H33:I33"/>
    <mergeCell ref="H34:I34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17:I17"/>
    <mergeCell ref="H18:I18"/>
    <mergeCell ref="H19:I19"/>
    <mergeCell ref="H8:I8"/>
    <mergeCell ref="H9:I9"/>
    <mergeCell ref="H10:I10"/>
    <mergeCell ref="F34:G34"/>
    <mergeCell ref="F35:G35"/>
    <mergeCell ref="F36:G36"/>
    <mergeCell ref="F18:G18"/>
    <mergeCell ref="F19:G19"/>
    <mergeCell ref="F20:G20"/>
    <mergeCell ref="F21:G21"/>
    <mergeCell ref="F10:G10"/>
    <mergeCell ref="F11:G11"/>
    <mergeCell ref="F12:G12"/>
    <mergeCell ref="F13:G13"/>
    <mergeCell ref="F14:G14"/>
    <mergeCell ref="F15:G15"/>
    <mergeCell ref="F37:G37"/>
    <mergeCell ref="H2:I2"/>
    <mergeCell ref="H3:I3"/>
    <mergeCell ref="H4:I4"/>
    <mergeCell ref="H5:I5"/>
    <mergeCell ref="H6:I6"/>
    <mergeCell ref="H7:I7"/>
    <mergeCell ref="F28:G28"/>
    <mergeCell ref="F29:G29"/>
    <mergeCell ref="F30:G30"/>
    <mergeCell ref="F31:G31"/>
    <mergeCell ref="F32:G32"/>
    <mergeCell ref="F33:G33"/>
    <mergeCell ref="F22:G22"/>
    <mergeCell ref="F23:G23"/>
    <mergeCell ref="F24:G24"/>
    <mergeCell ref="F25:G25"/>
    <mergeCell ref="F26:G26"/>
    <mergeCell ref="H35:I35"/>
    <mergeCell ref="H36:I36"/>
    <mergeCell ref="H37:I37"/>
    <mergeCell ref="F27:G27"/>
    <mergeCell ref="F16:G16"/>
    <mergeCell ref="F17:G17"/>
    <mergeCell ref="D20:E20"/>
    <mergeCell ref="D21:E21"/>
    <mergeCell ref="D22:E22"/>
    <mergeCell ref="D23:E23"/>
    <mergeCell ref="D24:E24"/>
    <mergeCell ref="D25:E25"/>
    <mergeCell ref="D14:E14"/>
    <mergeCell ref="D15:E15"/>
    <mergeCell ref="D16:E16"/>
    <mergeCell ref="D17:E17"/>
    <mergeCell ref="D18:E18"/>
    <mergeCell ref="D19:E19"/>
    <mergeCell ref="D35:E35"/>
    <mergeCell ref="D36:E36"/>
    <mergeCell ref="D37:E37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11:E11"/>
    <mergeCell ref="D12:E12"/>
    <mergeCell ref="D13:E13"/>
    <mergeCell ref="D2:E2"/>
    <mergeCell ref="D3:E3"/>
    <mergeCell ref="F2:G2"/>
    <mergeCell ref="F3:G3"/>
    <mergeCell ref="J2:K2"/>
    <mergeCell ref="J3:K3"/>
    <mergeCell ref="F4:G4"/>
    <mergeCell ref="F5:G5"/>
    <mergeCell ref="F6:G6"/>
    <mergeCell ref="F7:G7"/>
    <mergeCell ref="F8:G8"/>
    <mergeCell ref="F9:G9"/>
    <mergeCell ref="D8:E8"/>
    <mergeCell ref="D9:E9"/>
    <mergeCell ref="D10:E10"/>
    <mergeCell ref="H11:I11"/>
    <mergeCell ref="H12:I12"/>
    <mergeCell ref="H13:I13"/>
    <mergeCell ref="J4:K4"/>
    <mergeCell ref="J5:K5"/>
    <mergeCell ref="J6:K6"/>
    <mergeCell ref="B34:C34"/>
    <mergeCell ref="B35:C35"/>
    <mergeCell ref="B36:C36"/>
    <mergeCell ref="B37:C37"/>
    <mergeCell ref="D4:E4"/>
    <mergeCell ref="D5:E5"/>
    <mergeCell ref="D6:E6"/>
    <mergeCell ref="D7:E7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4:C4"/>
    <mergeCell ref="B5:C5"/>
    <mergeCell ref="B6:C6"/>
    <mergeCell ref="B7:C7"/>
    <mergeCell ref="B8:C8"/>
    <mergeCell ref="B9:C9"/>
    <mergeCell ref="N1:O1"/>
    <mergeCell ref="P1:Q1"/>
    <mergeCell ref="R1:S1"/>
    <mergeCell ref="T1:U1"/>
    <mergeCell ref="B2:C2"/>
    <mergeCell ref="B3:C3"/>
    <mergeCell ref="B1:C1"/>
    <mergeCell ref="D1:E1"/>
    <mergeCell ref="F1:G1"/>
    <mergeCell ref="H1:I1"/>
    <mergeCell ref="J1:K1"/>
    <mergeCell ref="L1:M1"/>
    <mergeCell ref="N2:O2"/>
    <mergeCell ref="N3:O3"/>
    <mergeCell ref="T66:U66"/>
    <mergeCell ref="B67:C67"/>
    <mergeCell ref="D67:E67"/>
    <mergeCell ref="F67:G67"/>
    <mergeCell ref="H67:I67"/>
    <mergeCell ref="J67:K67"/>
    <mergeCell ref="L67:M67"/>
    <mergeCell ref="N67:O67"/>
    <mergeCell ref="P67:Q67"/>
    <mergeCell ref="R67:S67"/>
    <mergeCell ref="T67:U67"/>
    <mergeCell ref="B66:C66"/>
    <mergeCell ref="D66:E66"/>
    <mergeCell ref="F66:G66"/>
    <mergeCell ref="H66:I66"/>
    <mergeCell ref="J66:K66"/>
    <mergeCell ref="L66:M66"/>
    <mergeCell ref="N66:O66"/>
    <mergeCell ref="P66:Q66"/>
    <mergeCell ref="R66:S66"/>
    <mergeCell ref="T68:U68"/>
    <mergeCell ref="B68:C68"/>
    <mergeCell ref="D68:E68"/>
    <mergeCell ref="F68:G68"/>
    <mergeCell ref="H68:I68"/>
    <mergeCell ref="J68:K68"/>
    <mergeCell ref="L68:M68"/>
    <mergeCell ref="N68:O68"/>
    <mergeCell ref="P68:Q68"/>
    <mergeCell ref="R68:S6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11"/>
  <sheetViews>
    <sheetView showGridLines="0" zoomScale="110" zoomScaleNormal="110" workbookViewId="0">
      <pane ySplit="1" topLeftCell="A2" activePane="bottomLeft" state="frozen"/>
      <selection pane="bottomLeft" activeCell="W35" sqref="W35"/>
    </sheetView>
  </sheetViews>
  <sheetFormatPr defaultRowHeight="14.25" x14ac:dyDescent="0.2"/>
  <cols>
    <col min="1" max="1" width="19.625" bestFit="1" customWidth="1"/>
    <col min="2" max="41" width="4.625" customWidth="1"/>
  </cols>
  <sheetData>
    <row r="1" spans="1:41" ht="16.5" thickTop="1" thickBot="1" x14ac:dyDescent="0.3">
      <c r="A1" s="98" t="s">
        <v>398</v>
      </c>
      <c r="B1" s="478" t="s">
        <v>312</v>
      </c>
      <c r="C1" s="479"/>
      <c r="D1" s="479"/>
      <c r="E1" s="480"/>
      <c r="F1" s="481" t="s">
        <v>7</v>
      </c>
      <c r="G1" s="482"/>
      <c r="H1" s="482"/>
      <c r="I1" s="483"/>
      <c r="J1" s="484" t="s">
        <v>304</v>
      </c>
      <c r="K1" s="485"/>
      <c r="L1" s="485"/>
      <c r="M1" s="486"/>
      <c r="N1" s="487" t="s">
        <v>9</v>
      </c>
      <c r="O1" s="488"/>
      <c r="P1" s="488"/>
      <c r="Q1" s="489"/>
      <c r="R1" s="490" t="s">
        <v>10</v>
      </c>
      <c r="S1" s="491"/>
      <c r="T1" s="491"/>
      <c r="U1" s="492"/>
      <c r="V1" s="493" t="s">
        <v>274</v>
      </c>
      <c r="W1" s="494"/>
      <c r="X1" s="494"/>
      <c r="Y1" s="495"/>
      <c r="Z1" s="466" t="s">
        <v>313</v>
      </c>
      <c r="AA1" s="467"/>
      <c r="AB1" s="467"/>
      <c r="AC1" s="468"/>
      <c r="AD1" s="469" t="s">
        <v>272</v>
      </c>
      <c r="AE1" s="470"/>
      <c r="AF1" s="470"/>
      <c r="AG1" s="471"/>
      <c r="AH1" s="472" t="s">
        <v>273</v>
      </c>
      <c r="AI1" s="473"/>
      <c r="AJ1" s="473"/>
      <c r="AK1" s="474"/>
      <c r="AL1" s="475" t="s">
        <v>13</v>
      </c>
      <c r="AM1" s="476"/>
      <c r="AN1" s="476"/>
      <c r="AO1" s="477"/>
    </row>
    <row r="2" spans="1:41" ht="15.75" thickTop="1" x14ac:dyDescent="0.25">
      <c r="A2" s="108" t="s">
        <v>312</v>
      </c>
      <c r="B2" s="99"/>
      <c r="C2" s="99"/>
      <c r="D2" s="99"/>
      <c r="E2" s="100"/>
      <c r="F2" s="268" t="s">
        <v>460</v>
      </c>
      <c r="G2" s="324" t="s">
        <v>450</v>
      </c>
      <c r="H2" s="123" t="s">
        <v>460</v>
      </c>
      <c r="I2" s="328" t="s">
        <v>458</v>
      </c>
      <c r="J2" s="319" t="s">
        <v>459</v>
      </c>
      <c r="K2" s="123" t="s">
        <v>460</v>
      </c>
      <c r="L2" s="323" t="s">
        <v>467</v>
      </c>
      <c r="M2" s="328" t="s">
        <v>463</v>
      </c>
      <c r="N2" s="320" t="s">
        <v>465</v>
      </c>
      <c r="O2" s="323" t="s">
        <v>464</v>
      </c>
      <c r="P2" s="324" t="s">
        <v>463</v>
      </c>
      <c r="Q2" s="330" t="s">
        <v>467</v>
      </c>
      <c r="R2" s="320" t="s">
        <v>463</v>
      </c>
      <c r="S2" s="123" t="s">
        <v>454</v>
      </c>
      <c r="T2" s="123" t="s">
        <v>454</v>
      </c>
      <c r="U2" s="124"/>
      <c r="V2" s="319" t="s">
        <v>466</v>
      </c>
      <c r="W2" s="123" t="s">
        <v>474</v>
      </c>
      <c r="X2" s="323" t="s">
        <v>451</v>
      </c>
      <c r="Y2" s="328" t="s">
        <v>465</v>
      </c>
      <c r="Z2" s="319" t="s">
        <v>467</v>
      </c>
      <c r="AA2" s="123" t="s">
        <v>460</v>
      </c>
      <c r="AB2" s="323" t="s">
        <v>459</v>
      </c>
      <c r="AC2" s="330" t="s">
        <v>467</v>
      </c>
      <c r="AD2" s="319" t="s">
        <v>451</v>
      </c>
      <c r="AE2" s="323" t="s">
        <v>459</v>
      </c>
      <c r="AF2" s="323" t="s">
        <v>459</v>
      </c>
      <c r="AG2" s="328" t="s">
        <v>455</v>
      </c>
      <c r="AH2" s="320" t="s">
        <v>468</v>
      </c>
      <c r="AI2" s="323" t="s">
        <v>459</v>
      </c>
      <c r="AJ2" s="324" t="s">
        <v>458</v>
      </c>
      <c r="AK2" s="330" t="s">
        <v>459</v>
      </c>
      <c r="AL2" s="320" t="s">
        <v>455</v>
      </c>
      <c r="AM2" s="323" t="s">
        <v>467</v>
      </c>
      <c r="AN2" s="324" t="s">
        <v>450</v>
      </c>
      <c r="AO2" s="328" t="s">
        <v>463</v>
      </c>
    </row>
    <row r="3" spans="1:41" ht="15" x14ac:dyDescent="0.25">
      <c r="A3" s="107" t="s">
        <v>7</v>
      </c>
      <c r="B3" s="121" t="s">
        <v>460</v>
      </c>
      <c r="C3" s="321" t="s">
        <v>451</v>
      </c>
      <c r="D3" s="121" t="s">
        <v>460</v>
      </c>
      <c r="E3" s="327" t="s">
        <v>459</v>
      </c>
      <c r="F3" s="96"/>
      <c r="G3" s="89"/>
      <c r="H3" s="89"/>
      <c r="I3" s="97"/>
      <c r="J3" s="120" t="s">
        <v>454</v>
      </c>
      <c r="K3" s="318" t="s">
        <v>469</v>
      </c>
      <c r="L3" s="318" t="s">
        <v>450</v>
      </c>
      <c r="M3" s="327" t="s">
        <v>472</v>
      </c>
      <c r="N3" s="316" t="s">
        <v>463</v>
      </c>
      <c r="O3" s="321" t="s">
        <v>472</v>
      </c>
      <c r="P3" s="318" t="s">
        <v>478</v>
      </c>
      <c r="Q3" s="327" t="s">
        <v>467</v>
      </c>
      <c r="R3" s="317" t="s">
        <v>464</v>
      </c>
      <c r="S3" s="318" t="s">
        <v>455</v>
      </c>
      <c r="T3" s="321" t="s">
        <v>459</v>
      </c>
      <c r="U3" s="327" t="s">
        <v>456</v>
      </c>
      <c r="V3" s="317" t="s">
        <v>464</v>
      </c>
      <c r="W3" s="321" t="s">
        <v>459</v>
      </c>
      <c r="X3" s="321" t="s">
        <v>459</v>
      </c>
      <c r="Y3" s="327" t="s">
        <v>464</v>
      </c>
      <c r="Z3" s="317" t="s">
        <v>464</v>
      </c>
      <c r="AA3" s="121" t="s">
        <v>460</v>
      </c>
      <c r="AB3" s="318" t="s">
        <v>458</v>
      </c>
      <c r="AC3" s="327" t="s">
        <v>464</v>
      </c>
      <c r="AD3" s="317" t="s">
        <v>459</v>
      </c>
      <c r="AE3" s="321" t="s">
        <v>464</v>
      </c>
      <c r="AF3" s="321" t="s">
        <v>456</v>
      </c>
      <c r="AG3" s="122"/>
      <c r="AH3" s="316" t="s">
        <v>463</v>
      </c>
      <c r="AI3" s="321" t="s">
        <v>459</v>
      </c>
      <c r="AJ3" s="121" t="s">
        <v>454</v>
      </c>
      <c r="AK3" s="327" t="s">
        <v>464</v>
      </c>
      <c r="AL3" s="316" t="s">
        <v>465</v>
      </c>
      <c r="AM3" s="318" t="s">
        <v>465</v>
      </c>
      <c r="AN3" s="318" t="s">
        <v>465</v>
      </c>
      <c r="AO3" s="327" t="s">
        <v>456</v>
      </c>
    </row>
    <row r="4" spans="1:41" ht="15" x14ac:dyDescent="0.25">
      <c r="A4" s="107" t="s">
        <v>304</v>
      </c>
      <c r="B4" s="318" t="s">
        <v>458</v>
      </c>
      <c r="C4" s="121" t="s">
        <v>460</v>
      </c>
      <c r="D4" s="318" t="s">
        <v>468</v>
      </c>
      <c r="E4" s="327" t="s">
        <v>464</v>
      </c>
      <c r="F4" s="120" t="s">
        <v>454</v>
      </c>
      <c r="G4" s="321" t="s">
        <v>470</v>
      </c>
      <c r="H4" s="321" t="s">
        <v>451</v>
      </c>
      <c r="I4" s="326" t="s">
        <v>471</v>
      </c>
      <c r="J4" s="96"/>
      <c r="K4" s="89"/>
      <c r="L4" s="89"/>
      <c r="M4" s="97"/>
      <c r="N4" s="120" t="s">
        <v>454</v>
      </c>
      <c r="O4" s="121" t="s">
        <v>454</v>
      </c>
      <c r="P4" s="321" t="s">
        <v>466</v>
      </c>
      <c r="Q4" s="122"/>
      <c r="R4" s="317" t="s">
        <v>464</v>
      </c>
      <c r="S4" s="121" t="s">
        <v>454</v>
      </c>
      <c r="T4" s="318" t="s">
        <v>461</v>
      </c>
      <c r="U4" s="122" t="s">
        <v>473</v>
      </c>
      <c r="V4" s="120" t="s">
        <v>460</v>
      </c>
      <c r="W4" s="318" t="s">
        <v>455</v>
      </c>
      <c r="X4" s="318" t="s">
        <v>463</v>
      </c>
      <c r="Y4" s="122" t="s">
        <v>480</v>
      </c>
      <c r="Z4" s="317" t="s">
        <v>462</v>
      </c>
      <c r="AA4" s="318" t="s">
        <v>463</v>
      </c>
      <c r="AB4" s="321" t="s">
        <v>459</v>
      </c>
      <c r="AC4" s="122" t="s">
        <v>460</v>
      </c>
      <c r="AD4" s="317" t="s">
        <v>467</v>
      </c>
      <c r="AE4" s="321" t="s">
        <v>451</v>
      </c>
      <c r="AF4" s="318" t="s">
        <v>461</v>
      </c>
      <c r="AG4" s="122" t="s">
        <v>460</v>
      </c>
      <c r="AH4" s="317" t="s">
        <v>451</v>
      </c>
      <c r="AI4" s="321" t="s">
        <v>464</v>
      </c>
      <c r="AJ4" s="321" t="s">
        <v>456</v>
      </c>
      <c r="AK4" s="327" t="s">
        <v>464</v>
      </c>
      <c r="AL4" s="317" t="s">
        <v>456</v>
      </c>
      <c r="AM4" s="318" t="s">
        <v>463</v>
      </c>
      <c r="AN4" s="321" t="s">
        <v>456</v>
      </c>
      <c r="AO4" s="122" t="s">
        <v>474</v>
      </c>
    </row>
    <row r="5" spans="1:41" ht="15" x14ac:dyDescent="0.25">
      <c r="A5" s="107" t="s">
        <v>9</v>
      </c>
      <c r="B5" s="321" t="s">
        <v>466</v>
      </c>
      <c r="C5" s="318" t="s">
        <v>463</v>
      </c>
      <c r="D5" s="321" t="s">
        <v>464</v>
      </c>
      <c r="E5" s="326" t="s">
        <v>468</v>
      </c>
      <c r="F5" s="317" t="s">
        <v>464</v>
      </c>
      <c r="G5" s="318" t="s">
        <v>471</v>
      </c>
      <c r="H5" s="321" t="s">
        <v>477</v>
      </c>
      <c r="I5" s="326" t="s">
        <v>468</v>
      </c>
      <c r="J5" s="120" t="s">
        <v>454</v>
      </c>
      <c r="K5" s="121" t="s">
        <v>454</v>
      </c>
      <c r="L5" s="325" t="s">
        <v>465</v>
      </c>
      <c r="M5" s="122"/>
      <c r="N5" s="96"/>
      <c r="O5" s="89"/>
      <c r="P5" s="89"/>
      <c r="Q5" s="97"/>
      <c r="R5" s="316" t="s">
        <v>458</v>
      </c>
      <c r="S5" s="318" t="s">
        <v>450</v>
      </c>
      <c r="T5" s="318" t="s">
        <v>461</v>
      </c>
      <c r="U5" s="327" t="s">
        <v>459</v>
      </c>
      <c r="V5" s="120" t="s">
        <v>460</v>
      </c>
      <c r="W5" s="321" t="s">
        <v>456</v>
      </c>
      <c r="X5" s="318" t="s">
        <v>465</v>
      </c>
      <c r="Y5" s="326" t="s">
        <v>465</v>
      </c>
      <c r="Z5" s="317" t="s">
        <v>451</v>
      </c>
      <c r="AA5" s="318" t="s">
        <v>465</v>
      </c>
      <c r="AB5" s="318" t="s">
        <v>469</v>
      </c>
      <c r="AC5" s="326" t="s">
        <v>455</v>
      </c>
      <c r="AD5" s="120" t="s">
        <v>454</v>
      </c>
      <c r="AE5" s="321" t="s">
        <v>466</v>
      </c>
      <c r="AF5" s="318" t="s">
        <v>458</v>
      </c>
      <c r="AG5" s="326" t="s">
        <v>458</v>
      </c>
      <c r="AH5" s="316" t="s">
        <v>458</v>
      </c>
      <c r="AI5" s="318" t="s">
        <v>458</v>
      </c>
      <c r="AJ5" s="318" t="s">
        <v>463</v>
      </c>
      <c r="AK5" s="327" t="s">
        <v>451</v>
      </c>
      <c r="AL5" s="120" t="s">
        <v>454</v>
      </c>
      <c r="AM5" s="121" t="s">
        <v>454</v>
      </c>
      <c r="AN5" s="121" t="s">
        <v>460</v>
      </c>
      <c r="AO5" s="122" t="s">
        <v>460</v>
      </c>
    </row>
    <row r="6" spans="1:41" ht="15" x14ac:dyDescent="0.25">
      <c r="A6" s="107" t="s">
        <v>10</v>
      </c>
      <c r="B6" s="321" t="s">
        <v>464</v>
      </c>
      <c r="C6" s="121" t="s">
        <v>454</v>
      </c>
      <c r="D6" s="121" t="s">
        <v>454</v>
      </c>
      <c r="E6" s="122"/>
      <c r="F6" s="316" t="s">
        <v>463</v>
      </c>
      <c r="G6" s="321" t="s">
        <v>456</v>
      </c>
      <c r="H6" s="318" t="s">
        <v>458</v>
      </c>
      <c r="I6" s="326" t="s">
        <v>455</v>
      </c>
      <c r="J6" s="316" t="s">
        <v>463</v>
      </c>
      <c r="K6" s="121" t="s">
        <v>454</v>
      </c>
      <c r="L6" s="321" t="s">
        <v>462</v>
      </c>
      <c r="M6" s="122" t="s">
        <v>473</v>
      </c>
      <c r="N6" s="317" t="s">
        <v>459</v>
      </c>
      <c r="O6" s="321" t="s">
        <v>451</v>
      </c>
      <c r="P6" s="321" t="s">
        <v>462</v>
      </c>
      <c r="Q6" s="326" t="s">
        <v>458</v>
      </c>
      <c r="R6" s="96"/>
      <c r="S6" s="89"/>
      <c r="T6" s="89"/>
      <c r="U6" s="97"/>
      <c r="V6" s="317" t="s">
        <v>464</v>
      </c>
      <c r="W6" s="321" t="s">
        <v>464</v>
      </c>
      <c r="X6" s="318" t="s">
        <v>453</v>
      </c>
      <c r="Y6" s="327" t="s">
        <v>472</v>
      </c>
      <c r="Z6" s="316" t="s">
        <v>469</v>
      </c>
      <c r="AA6" s="318" t="s">
        <v>469</v>
      </c>
      <c r="AB6" s="321" t="s">
        <v>464</v>
      </c>
      <c r="AC6" s="326" t="s">
        <v>469</v>
      </c>
      <c r="AD6" s="317" t="s">
        <v>456</v>
      </c>
      <c r="AE6" s="321" t="s">
        <v>459</v>
      </c>
      <c r="AF6" s="321" t="s">
        <v>464</v>
      </c>
      <c r="AG6" s="122" t="s">
        <v>474</v>
      </c>
      <c r="AH6" s="317" t="s">
        <v>467</v>
      </c>
      <c r="AI6" s="318" t="s">
        <v>475</v>
      </c>
      <c r="AJ6" s="321" t="s">
        <v>472</v>
      </c>
      <c r="AK6" s="327" t="s">
        <v>451</v>
      </c>
      <c r="AL6" s="316" t="s">
        <v>455</v>
      </c>
      <c r="AM6" s="318" t="s">
        <v>465</v>
      </c>
      <c r="AN6" s="318" t="s">
        <v>453</v>
      </c>
      <c r="AO6" s="327" t="s">
        <v>456</v>
      </c>
    </row>
    <row r="7" spans="1:41" ht="15" x14ac:dyDescent="0.25">
      <c r="A7" s="107" t="s">
        <v>274</v>
      </c>
      <c r="B7" s="318" t="s">
        <v>465</v>
      </c>
      <c r="C7" s="121" t="s">
        <v>474</v>
      </c>
      <c r="D7" s="318" t="s">
        <v>450</v>
      </c>
      <c r="E7" s="327" t="s">
        <v>466</v>
      </c>
      <c r="F7" s="316" t="s">
        <v>463</v>
      </c>
      <c r="G7" s="318" t="s">
        <v>458</v>
      </c>
      <c r="H7" s="318" t="s">
        <v>458</v>
      </c>
      <c r="I7" s="326" t="s">
        <v>463</v>
      </c>
      <c r="J7" s="120" t="s">
        <v>460</v>
      </c>
      <c r="K7" s="321" t="s">
        <v>456</v>
      </c>
      <c r="L7" s="321" t="s">
        <v>464</v>
      </c>
      <c r="M7" s="122" t="s">
        <v>480</v>
      </c>
      <c r="N7" s="120" t="s">
        <v>460</v>
      </c>
      <c r="O7" s="318" t="s">
        <v>455</v>
      </c>
      <c r="P7" s="321" t="s">
        <v>466</v>
      </c>
      <c r="Q7" s="327" t="s">
        <v>466</v>
      </c>
      <c r="R7" s="316" t="s">
        <v>463</v>
      </c>
      <c r="S7" s="318" t="s">
        <v>463</v>
      </c>
      <c r="T7" s="321" t="s">
        <v>452</v>
      </c>
      <c r="U7" s="326" t="s">
        <v>471</v>
      </c>
      <c r="V7" s="96"/>
      <c r="W7" s="89"/>
      <c r="X7" s="89"/>
      <c r="Y7" s="97"/>
      <c r="Z7" s="317" t="s">
        <v>467</v>
      </c>
      <c r="AA7" s="318" t="s">
        <v>463</v>
      </c>
      <c r="AB7" s="121" t="s">
        <v>474</v>
      </c>
      <c r="AC7" s="122"/>
      <c r="AD7" s="317" t="s">
        <v>464</v>
      </c>
      <c r="AE7" s="318" t="s">
        <v>463</v>
      </c>
      <c r="AF7" s="318" t="s">
        <v>458</v>
      </c>
      <c r="AG7" s="326" t="s">
        <v>461</v>
      </c>
      <c r="AH7" s="316" t="s">
        <v>453</v>
      </c>
      <c r="AI7" s="318" t="s">
        <v>465</v>
      </c>
      <c r="AJ7" s="321" t="s">
        <v>464</v>
      </c>
      <c r="AK7" s="326" t="s">
        <v>463</v>
      </c>
      <c r="AL7" s="317" t="s">
        <v>451</v>
      </c>
      <c r="AM7" s="318" t="s">
        <v>461</v>
      </c>
      <c r="AN7" s="318" t="s">
        <v>463</v>
      </c>
      <c r="AO7" s="326" t="s">
        <v>465</v>
      </c>
    </row>
    <row r="8" spans="1:41" ht="15" x14ac:dyDescent="0.25">
      <c r="A8" s="107" t="s">
        <v>313</v>
      </c>
      <c r="B8" s="318" t="s">
        <v>468</v>
      </c>
      <c r="C8" s="121" t="s">
        <v>460</v>
      </c>
      <c r="D8" s="318" t="s">
        <v>458</v>
      </c>
      <c r="E8" s="326" t="s">
        <v>468</v>
      </c>
      <c r="F8" s="316" t="s">
        <v>463</v>
      </c>
      <c r="G8" s="121" t="s">
        <v>460</v>
      </c>
      <c r="H8" s="321" t="s">
        <v>459</v>
      </c>
      <c r="I8" s="326" t="s">
        <v>463</v>
      </c>
      <c r="J8" s="316" t="s">
        <v>461</v>
      </c>
      <c r="K8" s="321" t="s">
        <v>464</v>
      </c>
      <c r="L8" s="318" t="s">
        <v>458</v>
      </c>
      <c r="M8" s="122" t="s">
        <v>460</v>
      </c>
      <c r="N8" s="316" t="s">
        <v>450</v>
      </c>
      <c r="O8" s="321" t="s">
        <v>466</v>
      </c>
      <c r="P8" s="321" t="s">
        <v>470</v>
      </c>
      <c r="Q8" s="327" t="s">
        <v>456</v>
      </c>
      <c r="R8" s="317" t="s">
        <v>470</v>
      </c>
      <c r="S8" s="321" t="s">
        <v>470</v>
      </c>
      <c r="T8" s="318" t="s">
        <v>463</v>
      </c>
      <c r="U8" s="327" t="s">
        <v>470</v>
      </c>
      <c r="V8" s="316" t="s">
        <v>468</v>
      </c>
      <c r="W8" s="321" t="s">
        <v>464</v>
      </c>
      <c r="X8" s="121" t="s">
        <v>474</v>
      </c>
      <c r="Y8" s="122"/>
      <c r="Z8" s="96"/>
      <c r="AA8" s="89"/>
      <c r="AB8" s="89"/>
      <c r="AC8" s="97"/>
      <c r="AD8" s="317" t="s">
        <v>472</v>
      </c>
      <c r="AE8" s="318" t="s">
        <v>468</v>
      </c>
      <c r="AF8" s="321" t="s">
        <v>464</v>
      </c>
      <c r="AG8" s="122" t="s">
        <v>474</v>
      </c>
      <c r="AH8" s="317" t="s">
        <v>464</v>
      </c>
      <c r="AI8" s="121" t="s">
        <v>454</v>
      </c>
      <c r="AJ8" s="318" t="s">
        <v>468</v>
      </c>
      <c r="AK8" s="327" t="s">
        <v>464</v>
      </c>
      <c r="AL8" s="316" t="s">
        <v>465</v>
      </c>
      <c r="AM8" s="321" t="s">
        <v>456</v>
      </c>
      <c r="AN8" s="121" t="s">
        <v>460</v>
      </c>
      <c r="AO8" s="122"/>
    </row>
    <row r="9" spans="1:41" ht="15" x14ac:dyDescent="0.25">
      <c r="A9" s="107" t="s">
        <v>272</v>
      </c>
      <c r="B9" s="318" t="s">
        <v>450</v>
      </c>
      <c r="C9" s="318" t="s">
        <v>458</v>
      </c>
      <c r="D9" s="318" t="s">
        <v>458</v>
      </c>
      <c r="E9" s="327" t="s">
        <v>456</v>
      </c>
      <c r="F9" s="316" t="s">
        <v>458</v>
      </c>
      <c r="G9" s="318" t="s">
        <v>463</v>
      </c>
      <c r="H9" s="318" t="s">
        <v>455</v>
      </c>
      <c r="I9" s="122"/>
      <c r="J9" s="316" t="s">
        <v>468</v>
      </c>
      <c r="K9" s="318" t="s">
        <v>450</v>
      </c>
      <c r="L9" s="321" t="s">
        <v>462</v>
      </c>
      <c r="M9" s="122" t="s">
        <v>460</v>
      </c>
      <c r="N9" s="120" t="s">
        <v>454</v>
      </c>
      <c r="O9" s="318" t="s">
        <v>465</v>
      </c>
      <c r="P9" s="321" t="s">
        <v>459</v>
      </c>
      <c r="Q9" s="327" t="s">
        <v>459</v>
      </c>
      <c r="R9" s="316" t="s">
        <v>455</v>
      </c>
      <c r="S9" s="318" t="s">
        <v>458</v>
      </c>
      <c r="T9" s="318" t="s">
        <v>463</v>
      </c>
      <c r="U9" s="122" t="s">
        <v>474</v>
      </c>
      <c r="V9" s="316" t="s">
        <v>463</v>
      </c>
      <c r="W9" s="321" t="s">
        <v>464</v>
      </c>
      <c r="X9" s="321" t="s">
        <v>459</v>
      </c>
      <c r="Y9" s="327" t="s">
        <v>462</v>
      </c>
      <c r="Z9" s="316" t="s">
        <v>471</v>
      </c>
      <c r="AA9" s="321" t="s">
        <v>467</v>
      </c>
      <c r="AB9" s="318" t="s">
        <v>463</v>
      </c>
      <c r="AC9" s="122" t="s">
        <v>474</v>
      </c>
      <c r="AD9" s="96"/>
      <c r="AE9" s="89"/>
      <c r="AF9" s="89"/>
      <c r="AG9" s="97"/>
      <c r="AH9" s="316" t="s">
        <v>455</v>
      </c>
      <c r="AI9" s="121" t="s">
        <v>460</v>
      </c>
      <c r="AJ9" s="321" t="s">
        <v>470</v>
      </c>
      <c r="AK9" s="326" t="s">
        <v>465</v>
      </c>
      <c r="AL9" s="120" t="s">
        <v>454</v>
      </c>
      <c r="AM9" s="321" t="s">
        <v>464</v>
      </c>
      <c r="AN9" s="321" t="s">
        <v>476</v>
      </c>
      <c r="AO9" s="326" t="s">
        <v>461</v>
      </c>
    </row>
    <row r="10" spans="1:41" ht="15" x14ac:dyDescent="0.25">
      <c r="A10" s="107" t="s">
        <v>273</v>
      </c>
      <c r="B10" s="321" t="s">
        <v>467</v>
      </c>
      <c r="C10" s="318" t="s">
        <v>458</v>
      </c>
      <c r="D10" s="321" t="s">
        <v>459</v>
      </c>
      <c r="E10" s="326" t="s">
        <v>458</v>
      </c>
      <c r="F10" s="317" t="s">
        <v>464</v>
      </c>
      <c r="G10" s="318" t="s">
        <v>458</v>
      </c>
      <c r="H10" s="121" t="s">
        <v>454</v>
      </c>
      <c r="I10" s="326" t="s">
        <v>463</v>
      </c>
      <c r="J10" s="316" t="s">
        <v>450</v>
      </c>
      <c r="K10" s="318" t="s">
        <v>463</v>
      </c>
      <c r="L10" s="318" t="s">
        <v>455</v>
      </c>
      <c r="M10" s="326" t="s">
        <v>463</v>
      </c>
      <c r="N10" s="317" t="s">
        <v>459</v>
      </c>
      <c r="O10" s="321" t="s">
        <v>459</v>
      </c>
      <c r="P10" s="321" t="s">
        <v>464</v>
      </c>
      <c r="Q10" s="326" t="s">
        <v>450</v>
      </c>
      <c r="R10" s="316" t="s">
        <v>468</v>
      </c>
      <c r="S10" s="321" t="s">
        <v>476</v>
      </c>
      <c r="T10" s="318" t="s">
        <v>471</v>
      </c>
      <c r="U10" s="326" t="s">
        <v>450</v>
      </c>
      <c r="V10" s="317" t="s">
        <v>452</v>
      </c>
      <c r="W10" s="321" t="s">
        <v>466</v>
      </c>
      <c r="X10" s="318" t="s">
        <v>463</v>
      </c>
      <c r="Y10" s="327" t="s">
        <v>464</v>
      </c>
      <c r="Z10" s="316" t="s">
        <v>463</v>
      </c>
      <c r="AA10" s="121" t="s">
        <v>454</v>
      </c>
      <c r="AB10" s="321" t="s">
        <v>467</v>
      </c>
      <c r="AC10" s="326" t="s">
        <v>463</v>
      </c>
      <c r="AD10" s="317" t="s">
        <v>456</v>
      </c>
      <c r="AE10" s="121" t="s">
        <v>460</v>
      </c>
      <c r="AF10" s="318" t="s">
        <v>469</v>
      </c>
      <c r="AG10" s="327" t="s">
        <v>466</v>
      </c>
      <c r="AH10" s="96"/>
      <c r="AI10" s="89"/>
      <c r="AJ10" s="89"/>
      <c r="AK10" s="97"/>
      <c r="AL10" s="120" t="s">
        <v>473</v>
      </c>
      <c r="AM10" s="318" t="s">
        <v>458</v>
      </c>
      <c r="AN10" s="318" t="s">
        <v>463</v>
      </c>
      <c r="AO10" s="122" t="s">
        <v>460</v>
      </c>
    </row>
    <row r="11" spans="1:41" ht="15" x14ac:dyDescent="0.25">
      <c r="A11" s="107" t="s">
        <v>13</v>
      </c>
      <c r="B11" s="321" t="s">
        <v>456</v>
      </c>
      <c r="C11" s="318" t="s">
        <v>468</v>
      </c>
      <c r="D11" s="321" t="s">
        <v>451</v>
      </c>
      <c r="E11" s="327" t="s">
        <v>464</v>
      </c>
      <c r="F11" s="317" t="s">
        <v>466</v>
      </c>
      <c r="G11" s="321" t="s">
        <v>466</v>
      </c>
      <c r="H11" s="321" t="s">
        <v>466</v>
      </c>
      <c r="I11" s="326" t="s">
        <v>455</v>
      </c>
      <c r="J11" s="316" t="s">
        <v>455</v>
      </c>
      <c r="K11" s="321" t="s">
        <v>464</v>
      </c>
      <c r="L11" s="318" t="s">
        <v>455</v>
      </c>
      <c r="M11" s="122" t="s">
        <v>474</v>
      </c>
      <c r="N11" s="120" t="s">
        <v>454</v>
      </c>
      <c r="O11" s="121" t="s">
        <v>454</v>
      </c>
      <c r="P11" s="121" t="s">
        <v>460</v>
      </c>
      <c r="Q11" s="122" t="s">
        <v>460</v>
      </c>
      <c r="R11" s="317" t="s">
        <v>456</v>
      </c>
      <c r="S11" s="321" t="s">
        <v>466</v>
      </c>
      <c r="T11" s="321" t="s">
        <v>452</v>
      </c>
      <c r="U11" s="326" t="s">
        <v>455</v>
      </c>
      <c r="V11" s="316" t="s">
        <v>450</v>
      </c>
      <c r="W11" s="321" t="s">
        <v>462</v>
      </c>
      <c r="X11" s="321" t="s">
        <v>464</v>
      </c>
      <c r="Y11" s="327" t="s">
        <v>466</v>
      </c>
      <c r="Z11" s="317" t="s">
        <v>466</v>
      </c>
      <c r="AA11" s="318" t="s">
        <v>455</v>
      </c>
      <c r="AB11" s="121" t="s">
        <v>460</v>
      </c>
      <c r="AC11" s="122" t="s">
        <v>460</v>
      </c>
      <c r="AD11" s="120" t="s">
        <v>454</v>
      </c>
      <c r="AE11" s="318" t="s">
        <v>463</v>
      </c>
      <c r="AF11" s="318" t="s">
        <v>475</v>
      </c>
      <c r="AG11" s="327" t="s">
        <v>462</v>
      </c>
      <c r="AH11" s="120" t="s">
        <v>473</v>
      </c>
      <c r="AI11" s="321" t="s">
        <v>459</v>
      </c>
      <c r="AJ11" s="321" t="s">
        <v>464</v>
      </c>
      <c r="AK11" s="122"/>
      <c r="AL11" s="96"/>
      <c r="AM11" s="89"/>
      <c r="AN11" s="89"/>
      <c r="AO11" s="97"/>
    </row>
  </sheetData>
  <mergeCells count="10">
    <mergeCell ref="Z1:AC1"/>
    <mergeCell ref="AD1:AG1"/>
    <mergeCell ref="AH1:AK1"/>
    <mergeCell ref="AL1:AO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1"/>
  <sheetViews>
    <sheetView zoomScale="110" zoomScaleNormal="110" workbookViewId="0">
      <pane xSplit="1" topLeftCell="B1" activePane="topRight" state="frozen"/>
      <selection pane="topRight" activeCell="A6" sqref="A6"/>
    </sheetView>
  </sheetViews>
  <sheetFormatPr defaultColWidth="9" defaultRowHeight="14.25" x14ac:dyDescent="0.2"/>
  <cols>
    <col min="1" max="1" width="13.75" style="86" bestFit="1" customWidth="1"/>
    <col min="2" max="2" width="13.5" style="86" bestFit="1" customWidth="1"/>
    <col min="3" max="3" width="7.875" style="86" bestFit="1" customWidth="1"/>
    <col min="4" max="4" width="8.25" style="86" bestFit="1" customWidth="1"/>
    <col min="5" max="5" width="9.625" style="86" bestFit="1" customWidth="1"/>
    <col min="6" max="6" width="10.125" style="86" bestFit="1" customWidth="1"/>
    <col min="7" max="7" width="7.75" style="86" bestFit="1" customWidth="1"/>
    <col min="8" max="8" width="8.25" style="86" bestFit="1" customWidth="1"/>
    <col min="9" max="9" width="14.125" style="86" bestFit="1" customWidth="1"/>
    <col min="10" max="10" width="12.5" style="86" bestFit="1" customWidth="1"/>
    <col min="11" max="11" width="10.75" style="86" bestFit="1" customWidth="1"/>
    <col min="12" max="12" width="12" style="86" bestFit="1" customWidth="1"/>
    <col min="13" max="13" width="10.125" style="86" bestFit="1" customWidth="1"/>
    <col min="14" max="14" width="9.625" style="86" bestFit="1" customWidth="1"/>
    <col min="15" max="15" width="11" style="86" bestFit="1" customWidth="1"/>
    <col min="16" max="16" width="16.5" style="86" bestFit="1" customWidth="1"/>
    <col min="17" max="17" width="14.75" style="86" bestFit="1" customWidth="1"/>
    <col min="18" max="18" width="16" style="86" bestFit="1" customWidth="1"/>
    <col min="19" max="19" width="14.125" style="86" bestFit="1" customWidth="1"/>
    <col min="20" max="20" width="13.625" style="86" bestFit="1" customWidth="1"/>
    <col min="21" max="21" width="15" style="86" bestFit="1" customWidth="1"/>
    <col min="22" max="22" width="18.625" style="86" bestFit="1" customWidth="1"/>
    <col min="23" max="23" width="17.375" style="86" bestFit="1" customWidth="1"/>
    <col min="24" max="24" width="18.875" style="86" bestFit="1" customWidth="1"/>
    <col min="25" max="25" width="15.125" style="86" bestFit="1" customWidth="1"/>
    <col min="26" max="26" width="16.5" style="86" bestFit="1" customWidth="1"/>
    <col min="27" max="27" width="14" style="86" bestFit="1" customWidth="1"/>
    <col min="28" max="28" width="22.625" style="86" bestFit="1" customWidth="1"/>
    <col min="29" max="29" width="21.375" style="86" bestFit="1" customWidth="1"/>
    <col min="30" max="30" width="19.875" style="86" bestFit="1" customWidth="1"/>
    <col min="31" max="31" width="19.375" style="86" bestFit="1" customWidth="1"/>
    <col min="32" max="32" width="9.875" style="86" bestFit="1" customWidth="1"/>
    <col min="33" max="33" width="10.25" style="86" bestFit="1" customWidth="1"/>
    <col min="34" max="34" width="14.5" style="86" bestFit="1" customWidth="1"/>
    <col min="35" max="16384" width="9" style="86"/>
  </cols>
  <sheetData>
    <row r="1" spans="1:34" ht="15" x14ac:dyDescent="0.25">
      <c r="A1" s="166" t="s">
        <v>322</v>
      </c>
      <c r="B1" s="167" t="s">
        <v>323</v>
      </c>
      <c r="C1" s="167" t="s">
        <v>324</v>
      </c>
      <c r="D1" s="168" t="s">
        <v>325</v>
      </c>
      <c r="E1" s="167" t="s">
        <v>326</v>
      </c>
      <c r="F1" s="168" t="s">
        <v>325</v>
      </c>
      <c r="G1" s="167" t="s">
        <v>327</v>
      </c>
      <c r="H1" s="168" t="s">
        <v>325</v>
      </c>
      <c r="I1" s="169" t="s">
        <v>328</v>
      </c>
      <c r="J1" s="169" t="s">
        <v>324</v>
      </c>
      <c r="K1" s="170" t="s">
        <v>325</v>
      </c>
      <c r="L1" s="169" t="s">
        <v>326</v>
      </c>
      <c r="M1" s="170" t="s">
        <v>325</v>
      </c>
      <c r="N1" s="169" t="s">
        <v>327</v>
      </c>
      <c r="O1" s="170" t="s">
        <v>325</v>
      </c>
      <c r="P1" s="171" t="s">
        <v>329</v>
      </c>
      <c r="Q1" s="171" t="s">
        <v>330</v>
      </c>
      <c r="R1" s="172" t="s">
        <v>331</v>
      </c>
      <c r="S1" s="173" t="s">
        <v>332</v>
      </c>
      <c r="T1" s="174" t="s">
        <v>333</v>
      </c>
      <c r="U1" s="174" t="s">
        <v>334</v>
      </c>
      <c r="V1" s="171" t="s">
        <v>335</v>
      </c>
      <c r="W1" s="175" t="s">
        <v>336</v>
      </c>
      <c r="X1" s="175" t="s">
        <v>337</v>
      </c>
      <c r="Y1" s="176" t="s">
        <v>338</v>
      </c>
      <c r="Z1" s="176" t="s">
        <v>339</v>
      </c>
      <c r="AA1" s="176" t="s">
        <v>340</v>
      </c>
      <c r="AB1" s="187" t="s">
        <v>341</v>
      </c>
      <c r="AC1" s="187" t="s">
        <v>342</v>
      </c>
      <c r="AD1" s="188" t="s">
        <v>343</v>
      </c>
      <c r="AE1" s="188" t="s">
        <v>344</v>
      </c>
      <c r="AF1" s="188" t="s">
        <v>345</v>
      </c>
      <c r="AG1" s="188" t="s">
        <v>275</v>
      </c>
      <c r="AH1" s="189" t="s">
        <v>346</v>
      </c>
    </row>
    <row r="2" spans="1:34" ht="15" x14ac:dyDescent="0.25">
      <c r="A2" s="177" t="s">
        <v>284</v>
      </c>
      <c r="B2" s="178">
        <f t="shared" ref="B2:B11" si="0">C2+E2+G2</f>
        <v>55</v>
      </c>
      <c r="C2" s="178">
        <v>3</v>
      </c>
      <c r="D2" s="279">
        <f t="shared" ref="D2:D11" si="1">C2/B2</f>
        <v>5.4545454545454543E-2</v>
      </c>
      <c r="E2" s="178">
        <v>16</v>
      </c>
      <c r="F2" s="279">
        <f t="shared" ref="F2:F11" si="2">E2/B2</f>
        <v>0.29090909090909089</v>
      </c>
      <c r="G2" s="178">
        <v>36</v>
      </c>
      <c r="H2" s="279">
        <f t="shared" ref="H2:H11" si="3">G2/B2</f>
        <v>0.65454545454545454</v>
      </c>
      <c r="I2" s="179">
        <f t="shared" ref="I2:I11" si="4">J2+L2+N2</f>
        <v>29</v>
      </c>
      <c r="J2" s="179">
        <v>7</v>
      </c>
      <c r="K2" s="280">
        <f t="shared" ref="K2:K11" si="5">J2/I2</f>
        <v>0.2413793103448276</v>
      </c>
      <c r="L2" s="179">
        <v>10</v>
      </c>
      <c r="M2" s="280">
        <f t="shared" ref="M2:M11" si="6">L2/I2</f>
        <v>0.34482758620689657</v>
      </c>
      <c r="N2" s="179">
        <v>12</v>
      </c>
      <c r="O2" s="280">
        <f t="shared" ref="O2:O11" si="7">N2/I2</f>
        <v>0.41379310344827586</v>
      </c>
      <c r="P2" s="180">
        <v>3</v>
      </c>
      <c r="Q2" s="180">
        <v>22</v>
      </c>
      <c r="R2" s="165">
        <v>46</v>
      </c>
      <c r="S2" s="181">
        <v>3</v>
      </c>
      <c r="T2" s="182">
        <v>35</v>
      </c>
      <c r="U2" s="182">
        <v>12</v>
      </c>
      <c r="V2" s="180">
        <v>0</v>
      </c>
      <c r="W2" s="183">
        <v>2</v>
      </c>
      <c r="X2" s="183">
        <v>3</v>
      </c>
      <c r="Y2" s="184">
        <v>4</v>
      </c>
      <c r="Z2" s="184">
        <v>1</v>
      </c>
      <c r="AA2" s="184">
        <v>3</v>
      </c>
      <c r="AB2" s="185">
        <v>33</v>
      </c>
      <c r="AC2" s="185">
        <v>26</v>
      </c>
      <c r="AD2" s="186">
        <v>252</v>
      </c>
      <c r="AE2" s="186">
        <v>64</v>
      </c>
      <c r="AF2" s="186">
        <f t="shared" ref="AF2:AF11" si="8">AD2-AE2</f>
        <v>188</v>
      </c>
      <c r="AG2" s="212">
        <f>AF2/'RAW DATA andamento'!$B$57</f>
        <v>5.371428571428571</v>
      </c>
      <c r="AH2" s="180">
        <f>Panchine!E39+Punteggio!D39</f>
        <v>4589.5</v>
      </c>
    </row>
    <row r="3" spans="1:34" ht="15" x14ac:dyDescent="0.25">
      <c r="A3" s="177" t="s">
        <v>285</v>
      </c>
      <c r="B3" s="178">
        <f t="shared" si="0"/>
        <v>48</v>
      </c>
      <c r="C3" s="178">
        <v>7</v>
      </c>
      <c r="D3" s="279">
        <f t="shared" si="1"/>
        <v>0.14583333333333334</v>
      </c>
      <c r="E3" s="178">
        <v>18</v>
      </c>
      <c r="F3" s="279">
        <f t="shared" si="2"/>
        <v>0.375</v>
      </c>
      <c r="G3" s="178">
        <v>23</v>
      </c>
      <c r="H3" s="279">
        <f t="shared" si="3"/>
        <v>0.47916666666666669</v>
      </c>
      <c r="I3" s="179">
        <f t="shared" si="4"/>
        <v>19</v>
      </c>
      <c r="J3" s="179">
        <v>0</v>
      </c>
      <c r="K3" s="280">
        <f t="shared" si="5"/>
        <v>0</v>
      </c>
      <c r="L3" s="179">
        <v>16</v>
      </c>
      <c r="M3" s="280">
        <f t="shared" si="6"/>
        <v>0.84210526315789469</v>
      </c>
      <c r="N3" s="179">
        <v>3</v>
      </c>
      <c r="O3" s="280">
        <f t="shared" si="7"/>
        <v>0.15789473684210525</v>
      </c>
      <c r="P3" s="180">
        <v>4</v>
      </c>
      <c r="Q3" s="180">
        <v>11</v>
      </c>
      <c r="R3" s="165">
        <v>41</v>
      </c>
      <c r="S3" s="181">
        <v>1</v>
      </c>
      <c r="T3" s="182">
        <v>28</v>
      </c>
      <c r="U3" s="182">
        <v>17</v>
      </c>
      <c r="V3" s="180">
        <v>0</v>
      </c>
      <c r="W3" s="183">
        <v>8</v>
      </c>
      <c r="X3" s="183">
        <v>3</v>
      </c>
      <c r="Y3" s="184">
        <v>2</v>
      </c>
      <c r="Z3" s="184">
        <v>2</v>
      </c>
      <c r="AA3" s="184">
        <v>0</v>
      </c>
      <c r="AB3" s="185">
        <v>6</v>
      </c>
      <c r="AC3" s="185">
        <v>4</v>
      </c>
      <c r="AD3" s="186">
        <v>208</v>
      </c>
      <c r="AE3" s="186">
        <v>55.5</v>
      </c>
      <c r="AF3" s="186">
        <f t="shared" si="8"/>
        <v>152.5</v>
      </c>
      <c r="AG3" s="212">
        <f>AF3/'RAW DATA andamento'!$B$57</f>
        <v>4.3571428571428568</v>
      </c>
      <c r="AH3" s="180">
        <f>Panchine!I39+Punteggio!H39</f>
        <v>3800.5</v>
      </c>
    </row>
    <row r="4" spans="1:34" ht="15" x14ac:dyDescent="0.25">
      <c r="A4" s="177" t="s">
        <v>286</v>
      </c>
      <c r="B4" s="178">
        <f t="shared" si="0"/>
        <v>51</v>
      </c>
      <c r="C4" s="178">
        <v>15</v>
      </c>
      <c r="D4" s="279">
        <f t="shared" si="1"/>
        <v>0.29411764705882354</v>
      </c>
      <c r="E4" s="178">
        <v>8</v>
      </c>
      <c r="F4" s="279">
        <f t="shared" si="2"/>
        <v>0.15686274509803921</v>
      </c>
      <c r="G4" s="178">
        <v>28</v>
      </c>
      <c r="H4" s="279">
        <f t="shared" si="3"/>
        <v>0.5490196078431373</v>
      </c>
      <c r="I4" s="179">
        <f t="shared" si="4"/>
        <v>41</v>
      </c>
      <c r="J4" s="179">
        <v>18</v>
      </c>
      <c r="K4" s="280">
        <f t="shared" si="5"/>
        <v>0.43902439024390244</v>
      </c>
      <c r="L4" s="179">
        <v>13</v>
      </c>
      <c r="M4" s="280">
        <f t="shared" si="6"/>
        <v>0.31707317073170732</v>
      </c>
      <c r="N4" s="179">
        <v>10</v>
      </c>
      <c r="O4" s="280">
        <f t="shared" si="7"/>
        <v>0.24390243902439024</v>
      </c>
      <c r="P4" s="180">
        <v>2</v>
      </c>
      <c r="Q4" s="180">
        <v>20</v>
      </c>
      <c r="R4" s="165">
        <v>41</v>
      </c>
      <c r="S4" s="181">
        <v>5</v>
      </c>
      <c r="T4" s="182">
        <v>29</v>
      </c>
      <c r="U4" s="182">
        <v>13</v>
      </c>
      <c r="V4" s="180">
        <v>0</v>
      </c>
      <c r="W4" s="183">
        <v>1</v>
      </c>
      <c r="X4" s="183">
        <v>0</v>
      </c>
      <c r="Y4" s="184">
        <v>9</v>
      </c>
      <c r="Z4" s="184">
        <v>2</v>
      </c>
      <c r="AA4" s="184">
        <v>0</v>
      </c>
      <c r="AB4" s="185">
        <v>33</v>
      </c>
      <c r="AC4" s="185">
        <v>60</v>
      </c>
      <c r="AD4" s="186">
        <v>244</v>
      </c>
      <c r="AE4" s="186">
        <v>60.5</v>
      </c>
      <c r="AF4" s="186">
        <f t="shared" si="8"/>
        <v>183.5</v>
      </c>
      <c r="AG4" s="212">
        <f>AF4/'RAW DATA andamento'!$B$57</f>
        <v>5.2428571428571429</v>
      </c>
      <c r="AH4" s="180">
        <f>Panchine!K39+Punteggio!J39</f>
        <v>3916.5</v>
      </c>
    </row>
    <row r="5" spans="1:34" ht="15" x14ac:dyDescent="0.25">
      <c r="A5" s="177" t="s">
        <v>287</v>
      </c>
      <c r="B5" s="178">
        <f t="shared" si="0"/>
        <v>34</v>
      </c>
      <c r="C5" s="178">
        <v>9</v>
      </c>
      <c r="D5" s="279">
        <f t="shared" si="1"/>
        <v>0.26470588235294118</v>
      </c>
      <c r="E5" s="178">
        <v>11</v>
      </c>
      <c r="F5" s="279">
        <f t="shared" si="2"/>
        <v>0.3235294117647059</v>
      </c>
      <c r="G5" s="178">
        <v>14</v>
      </c>
      <c r="H5" s="279">
        <f t="shared" si="3"/>
        <v>0.41176470588235292</v>
      </c>
      <c r="I5" s="179">
        <f t="shared" si="4"/>
        <v>21</v>
      </c>
      <c r="J5" s="179">
        <v>6</v>
      </c>
      <c r="K5" s="280">
        <f t="shared" si="5"/>
        <v>0.2857142857142857</v>
      </c>
      <c r="L5" s="179">
        <v>8</v>
      </c>
      <c r="M5" s="280">
        <f t="shared" si="6"/>
        <v>0.38095238095238093</v>
      </c>
      <c r="N5" s="179">
        <v>7</v>
      </c>
      <c r="O5" s="280">
        <f t="shared" si="7"/>
        <v>0.33333333333333331</v>
      </c>
      <c r="P5" s="180">
        <v>4</v>
      </c>
      <c r="Q5" s="180">
        <v>9</v>
      </c>
      <c r="R5" s="165">
        <v>46</v>
      </c>
      <c r="S5" s="181">
        <v>3</v>
      </c>
      <c r="T5" s="182">
        <v>30</v>
      </c>
      <c r="U5" s="182">
        <v>16</v>
      </c>
      <c r="V5" s="180">
        <v>0</v>
      </c>
      <c r="W5" s="183">
        <v>0</v>
      </c>
      <c r="X5" s="183">
        <v>2</v>
      </c>
      <c r="Y5" s="184">
        <v>7</v>
      </c>
      <c r="Z5" s="184">
        <v>0</v>
      </c>
      <c r="AA5" s="184">
        <v>0</v>
      </c>
      <c r="AB5" s="185">
        <v>32</v>
      </c>
      <c r="AC5" s="185">
        <v>45</v>
      </c>
      <c r="AD5" s="186">
        <v>163</v>
      </c>
      <c r="AE5" s="186">
        <v>55</v>
      </c>
      <c r="AF5" s="186">
        <f t="shared" si="8"/>
        <v>108</v>
      </c>
      <c r="AG5" s="212">
        <f>AF5/'RAW DATA andamento'!$B$57</f>
        <v>3.0857142857142859</v>
      </c>
      <c r="AH5" s="180">
        <f>Panchine!M39+Punteggio!L39</f>
        <v>4668</v>
      </c>
    </row>
    <row r="6" spans="1:34" ht="15" x14ac:dyDescent="0.25">
      <c r="A6" s="177" t="s">
        <v>288</v>
      </c>
      <c r="B6" s="178">
        <f t="shared" si="0"/>
        <v>46</v>
      </c>
      <c r="C6" s="178">
        <v>10</v>
      </c>
      <c r="D6" s="279">
        <f t="shared" si="1"/>
        <v>0.21739130434782608</v>
      </c>
      <c r="E6" s="178">
        <v>15</v>
      </c>
      <c r="F6" s="279">
        <f t="shared" si="2"/>
        <v>0.32608695652173914</v>
      </c>
      <c r="G6" s="178">
        <v>21</v>
      </c>
      <c r="H6" s="279">
        <f t="shared" si="3"/>
        <v>0.45652173913043476</v>
      </c>
      <c r="I6" s="179">
        <f t="shared" si="4"/>
        <v>24</v>
      </c>
      <c r="J6" s="179">
        <v>6</v>
      </c>
      <c r="K6" s="280">
        <f t="shared" si="5"/>
        <v>0.25</v>
      </c>
      <c r="L6" s="179">
        <v>10</v>
      </c>
      <c r="M6" s="280">
        <f t="shared" si="6"/>
        <v>0.41666666666666669</v>
      </c>
      <c r="N6" s="179">
        <v>8</v>
      </c>
      <c r="O6" s="280">
        <f t="shared" si="7"/>
        <v>0.33333333333333331</v>
      </c>
      <c r="P6" s="180">
        <v>2</v>
      </c>
      <c r="Q6" s="180">
        <v>16</v>
      </c>
      <c r="R6" s="165">
        <v>33</v>
      </c>
      <c r="S6" s="181">
        <v>4</v>
      </c>
      <c r="T6" s="182">
        <v>41</v>
      </c>
      <c r="U6" s="182">
        <v>13</v>
      </c>
      <c r="V6" s="180">
        <v>0</v>
      </c>
      <c r="W6" s="183">
        <v>4</v>
      </c>
      <c r="X6" s="183">
        <v>3</v>
      </c>
      <c r="Y6" s="184">
        <v>3</v>
      </c>
      <c r="Z6" s="184">
        <v>0</v>
      </c>
      <c r="AA6" s="184">
        <v>0</v>
      </c>
      <c r="AB6" s="185">
        <v>33</v>
      </c>
      <c r="AC6" s="185">
        <v>34</v>
      </c>
      <c r="AD6" s="186">
        <v>208.5</v>
      </c>
      <c r="AE6" s="186">
        <v>61.5</v>
      </c>
      <c r="AF6" s="186">
        <f t="shared" si="8"/>
        <v>147</v>
      </c>
      <c r="AG6" s="212">
        <f>AF6/'RAW DATA andamento'!$B$57</f>
        <v>4.2</v>
      </c>
      <c r="AH6" s="180">
        <f>Panchine!Q39+Punteggio!P39</f>
        <v>4102</v>
      </c>
    </row>
    <row r="7" spans="1:34" ht="15" x14ac:dyDescent="0.25">
      <c r="A7" s="177" t="s">
        <v>315</v>
      </c>
      <c r="B7" s="178">
        <f t="shared" si="0"/>
        <v>47</v>
      </c>
      <c r="C7" s="178">
        <v>8</v>
      </c>
      <c r="D7" s="279">
        <f t="shared" si="1"/>
        <v>0.1702127659574468</v>
      </c>
      <c r="E7" s="178">
        <v>12</v>
      </c>
      <c r="F7" s="279">
        <f t="shared" si="2"/>
        <v>0.25531914893617019</v>
      </c>
      <c r="G7" s="178">
        <v>27</v>
      </c>
      <c r="H7" s="279">
        <f t="shared" si="3"/>
        <v>0.57446808510638303</v>
      </c>
      <c r="I7" s="179">
        <f t="shared" si="4"/>
        <v>29</v>
      </c>
      <c r="J7" s="179">
        <v>8</v>
      </c>
      <c r="K7" s="280">
        <f t="shared" si="5"/>
        <v>0.27586206896551724</v>
      </c>
      <c r="L7" s="179">
        <v>10</v>
      </c>
      <c r="M7" s="280">
        <f t="shared" si="6"/>
        <v>0.34482758620689657</v>
      </c>
      <c r="N7" s="179">
        <v>11</v>
      </c>
      <c r="O7" s="280">
        <f t="shared" si="7"/>
        <v>0.37931034482758619</v>
      </c>
      <c r="P7" s="180">
        <v>5</v>
      </c>
      <c r="Q7" s="180">
        <v>14</v>
      </c>
      <c r="R7" s="165">
        <v>57</v>
      </c>
      <c r="S7" s="181">
        <v>2</v>
      </c>
      <c r="T7" s="182">
        <v>31</v>
      </c>
      <c r="U7" s="182">
        <v>18</v>
      </c>
      <c r="V7" s="180">
        <v>1</v>
      </c>
      <c r="W7" s="183">
        <v>3</v>
      </c>
      <c r="X7" s="183">
        <v>2</v>
      </c>
      <c r="Y7" s="184">
        <v>9</v>
      </c>
      <c r="Z7" s="184">
        <v>4</v>
      </c>
      <c r="AA7" s="184">
        <v>2</v>
      </c>
      <c r="AB7" s="185">
        <v>30</v>
      </c>
      <c r="AC7" s="185">
        <v>38</v>
      </c>
      <c r="AD7" s="186">
        <v>206</v>
      </c>
      <c r="AE7" s="186">
        <v>73.5</v>
      </c>
      <c r="AF7" s="186">
        <f t="shared" si="8"/>
        <v>132.5</v>
      </c>
      <c r="AG7" s="212">
        <f>AF7/'RAW DATA andamento'!$B$57</f>
        <v>3.7857142857142856</v>
      </c>
      <c r="AH7" s="180">
        <f>Panchine!O39+Punteggio!N39</f>
        <v>4163.5</v>
      </c>
    </row>
    <row r="8" spans="1:34" ht="15" x14ac:dyDescent="0.25">
      <c r="A8" s="177" t="s">
        <v>289</v>
      </c>
      <c r="B8" s="178">
        <f t="shared" si="0"/>
        <v>43</v>
      </c>
      <c r="C8" s="178">
        <v>7</v>
      </c>
      <c r="D8" s="279">
        <f t="shared" si="1"/>
        <v>0.16279069767441862</v>
      </c>
      <c r="E8" s="178">
        <v>17</v>
      </c>
      <c r="F8" s="279">
        <f t="shared" si="2"/>
        <v>0.39534883720930231</v>
      </c>
      <c r="G8" s="178">
        <v>19</v>
      </c>
      <c r="H8" s="279">
        <f t="shared" si="3"/>
        <v>0.44186046511627908</v>
      </c>
      <c r="I8" s="179">
        <f t="shared" si="4"/>
        <v>23</v>
      </c>
      <c r="J8" s="179">
        <v>8</v>
      </c>
      <c r="K8" s="280">
        <f t="shared" si="5"/>
        <v>0.34782608695652173</v>
      </c>
      <c r="L8" s="179">
        <v>10</v>
      </c>
      <c r="M8" s="280">
        <f t="shared" si="6"/>
        <v>0.43478260869565216</v>
      </c>
      <c r="N8" s="179">
        <v>5</v>
      </c>
      <c r="O8" s="280">
        <f t="shared" si="7"/>
        <v>0.21739130434782608</v>
      </c>
      <c r="P8" s="180">
        <v>1</v>
      </c>
      <c r="Q8" s="180">
        <v>21</v>
      </c>
      <c r="R8" s="165">
        <v>45</v>
      </c>
      <c r="S8" s="181">
        <v>4</v>
      </c>
      <c r="T8" s="182">
        <v>31</v>
      </c>
      <c r="U8" s="182">
        <v>12</v>
      </c>
      <c r="V8" s="180">
        <v>0</v>
      </c>
      <c r="W8" s="183">
        <v>5</v>
      </c>
      <c r="X8" s="183">
        <v>1</v>
      </c>
      <c r="Y8" s="184">
        <v>4</v>
      </c>
      <c r="Z8" s="184">
        <v>2</v>
      </c>
      <c r="AA8" s="184">
        <v>2</v>
      </c>
      <c r="AB8" s="185">
        <v>23</v>
      </c>
      <c r="AC8" s="185">
        <v>31</v>
      </c>
      <c r="AD8" s="186">
        <v>206.5</v>
      </c>
      <c r="AE8" s="186">
        <v>63.5</v>
      </c>
      <c r="AF8" s="186">
        <f t="shared" si="8"/>
        <v>143</v>
      </c>
      <c r="AG8" s="212">
        <f>AF8/'RAW DATA andamento'!$B$57</f>
        <v>4.0857142857142854</v>
      </c>
      <c r="AH8" s="180">
        <f>Panchine!S39+Punteggio!R39</f>
        <v>3967</v>
      </c>
    </row>
    <row r="9" spans="1:34" ht="15" x14ac:dyDescent="0.25">
      <c r="A9" s="177" t="s">
        <v>290</v>
      </c>
      <c r="B9" s="178">
        <f t="shared" si="0"/>
        <v>51</v>
      </c>
      <c r="C9" s="178">
        <v>7</v>
      </c>
      <c r="D9" s="279">
        <f t="shared" si="1"/>
        <v>0.13725490196078433</v>
      </c>
      <c r="E9" s="178">
        <v>25</v>
      </c>
      <c r="F9" s="279">
        <f t="shared" si="2"/>
        <v>0.49019607843137253</v>
      </c>
      <c r="G9" s="178">
        <v>19</v>
      </c>
      <c r="H9" s="279">
        <f t="shared" si="3"/>
        <v>0.37254901960784315</v>
      </c>
      <c r="I9" s="179">
        <f t="shared" si="4"/>
        <v>31</v>
      </c>
      <c r="J9" s="179">
        <v>8</v>
      </c>
      <c r="K9" s="280">
        <f t="shared" si="5"/>
        <v>0.25806451612903225</v>
      </c>
      <c r="L9" s="179">
        <v>13</v>
      </c>
      <c r="M9" s="280">
        <f t="shared" si="6"/>
        <v>0.41935483870967744</v>
      </c>
      <c r="N9" s="179">
        <v>10</v>
      </c>
      <c r="O9" s="280">
        <f t="shared" si="7"/>
        <v>0.32258064516129031</v>
      </c>
      <c r="P9" s="180">
        <v>1</v>
      </c>
      <c r="Q9" s="180">
        <v>9</v>
      </c>
      <c r="R9" s="165">
        <v>34</v>
      </c>
      <c r="S9" s="181">
        <v>1</v>
      </c>
      <c r="T9" s="182">
        <v>26</v>
      </c>
      <c r="U9" s="182">
        <v>17</v>
      </c>
      <c r="V9" s="180">
        <v>1</v>
      </c>
      <c r="W9" s="183">
        <v>5</v>
      </c>
      <c r="X9" s="183">
        <v>1</v>
      </c>
      <c r="Y9" s="184">
        <v>6</v>
      </c>
      <c r="Z9" s="184">
        <v>4</v>
      </c>
      <c r="AA9" s="184">
        <v>1</v>
      </c>
      <c r="AB9" s="185">
        <v>12</v>
      </c>
      <c r="AC9" s="185">
        <v>20</v>
      </c>
      <c r="AD9" s="186">
        <v>229</v>
      </c>
      <c r="AE9" s="186">
        <v>58.5</v>
      </c>
      <c r="AF9" s="186">
        <f t="shared" si="8"/>
        <v>170.5</v>
      </c>
      <c r="AG9" s="212">
        <f>AF9/'RAW DATA andamento'!$B$57</f>
        <v>4.871428571428571</v>
      </c>
      <c r="AH9" s="180">
        <f>Panchine!U39+Punteggio!T39</f>
        <v>5413.5</v>
      </c>
    </row>
    <row r="10" spans="1:34" ht="15" x14ac:dyDescent="0.25">
      <c r="A10" s="177" t="s">
        <v>314</v>
      </c>
      <c r="B10" s="178">
        <f t="shared" si="0"/>
        <v>34</v>
      </c>
      <c r="C10" s="178">
        <v>3</v>
      </c>
      <c r="D10" s="279">
        <f t="shared" si="1"/>
        <v>8.8235294117647065E-2</v>
      </c>
      <c r="E10" s="178">
        <v>13</v>
      </c>
      <c r="F10" s="279">
        <f t="shared" si="2"/>
        <v>0.38235294117647056</v>
      </c>
      <c r="G10" s="178">
        <v>18</v>
      </c>
      <c r="H10" s="279">
        <f t="shared" si="3"/>
        <v>0.52941176470588236</v>
      </c>
      <c r="I10" s="179">
        <f t="shared" si="4"/>
        <v>22</v>
      </c>
      <c r="J10" s="179">
        <v>2</v>
      </c>
      <c r="K10" s="280">
        <f t="shared" si="5"/>
        <v>9.0909090909090912E-2</v>
      </c>
      <c r="L10" s="179">
        <v>17</v>
      </c>
      <c r="M10" s="280">
        <f t="shared" si="6"/>
        <v>0.77272727272727271</v>
      </c>
      <c r="N10" s="179">
        <v>3</v>
      </c>
      <c r="O10" s="280">
        <f t="shared" si="7"/>
        <v>0.13636363636363635</v>
      </c>
      <c r="P10" s="180">
        <v>3</v>
      </c>
      <c r="Q10" s="180">
        <v>15</v>
      </c>
      <c r="R10" s="165">
        <v>51</v>
      </c>
      <c r="S10" s="181">
        <v>2</v>
      </c>
      <c r="T10" s="182">
        <v>32</v>
      </c>
      <c r="U10" s="182">
        <v>13</v>
      </c>
      <c r="V10" s="180">
        <v>1</v>
      </c>
      <c r="W10" s="183">
        <v>0</v>
      </c>
      <c r="X10" s="183">
        <v>0</v>
      </c>
      <c r="Y10" s="184">
        <v>3</v>
      </c>
      <c r="Z10" s="184">
        <v>0</v>
      </c>
      <c r="AA10" s="184">
        <v>2</v>
      </c>
      <c r="AB10" s="185">
        <v>25</v>
      </c>
      <c r="AC10" s="185">
        <v>31</v>
      </c>
      <c r="AD10" s="186">
        <v>168</v>
      </c>
      <c r="AE10" s="186">
        <v>61</v>
      </c>
      <c r="AF10" s="186">
        <f t="shared" si="8"/>
        <v>107</v>
      </c>
      <c r="AG10" s="212">
        <f>AF10/'RAW DATA andamento'!$B$57</f>
        <v>3.0571428571428569</v>
      </c>
      <c r="AH10" s="180">
        <f>Panchine!C39+Punteggio!B39</f>
        <v>4271</v>
      </c>
    </row>
    <row r="11" spans="1:34" ht="15" x14ac:dyDescent="0.25">
      <c r="A11" s="177" t="s">
        <v>305</v>
      </c>
      <c r="B11" s="178">
        <f t="shared" si="0"/>
        <v>51</v>
      </c>
      <c r="C11" s="178">
        <v>10</v>
      </c>
      <c r="D11" s="279">
        <f t="shared" si="1"/>
        <v>0.19607843137254902</v>
      </c>
      <c r="E11" s="178">
        <v>16</v>
      </c>
      <c r="F11" s="279">
        <f t="shared" si="2"/>
        <v>0.31372549019607843</v>
      </c>
      <c r="G11" s="178">
        <v>25</v>
      </c>
      <c r="H11" s="279">
        <f t="shared" si="3"/>
        <v>0.49019607843137253</v>
      </c>
      <c r="I11" s="179">
        <f t="shared" si="4"/>
        <v>27</v>
      </c>
      <c r="J11" s="179">
        <v>9</v>
      </c>
      <c r="K11" s="280">
        <f t="shared" si="5"/>
        <v>0.33333333333333331</v>
      </c>
      <c r="L11" s="179">
        <v>7</v>
      </c>
      <c r="M11" s="280">
        <f t="shared" si="6"/>
        <v>0.25925925925925924</v>
      </c>
      <c r="N11" s="179">
        <v>11</v>
      </c>
      <c r="O11" s="280">
        <f t="shared" si="7"/>
        <v>0.40740740740740738</v>
      </c>
      <c r="P11" s="180">
        <v>1</v>
      </c>
      <c r="Q11" s="180">
        <v>20</v>
      </c>
      <c r="R11" s="165">
        <v>35</v>
      </c>
      <c r="S11" s="181">
        <v>1</v>
      </c>
      <c r="T11" s="182">
        <v>54</v>
      </c>
      <c r="U11" s="182">
        <v>7</v>
      </c>
      <c r="V11" s="180">
        <v>2</v>
      </c>
      <c r="W11" s="183">
        <v>5</v>
      </c>
      <c r="X11" s="183">
        <v>3</v>
      </c>
      <c r="Y11" s="184">
        <v>3</v>
      </c>
      <c r="Z11" s="184">
        <v>1</v>
      </c>
      <c r="AA11" s="184">
        <v>1</v>
      </c>
      <c r="AB11" s="185">
        <v>33</v>
      </c>
      <c r="AC11" s="185">
        <v>42</v>
      </c>
      <c r="AD11" s="186">
        <v>227</v>
      </c>
      <c r="AE11" s="186">
        <v>79.5</v>
      </c>
      <c r="AF11" s="186">
        <f t="shared" si="8"/>
        <v>147.5</v>
      </c>
      <c r="AG11" s="212">
        <f>AF11/'RAW DATA andamento'!$B$57</f>
        <v>4.2142857142857144</v>
      </c>
      <c r="AH11" s="180">
        <f>Panchine!G39+Punteggio!F39</f>
        <v>4823.5</v>
      </c>
    </row>
  </sheetData>
  <autoFilter ref="A1:AH1" xr:uid="{00000000-0009-0000-0000-000007000000}">
    <sortState ref="A2:AH11">
      <sortCondition ref="A1"/>
    </sortState>
  </autoFilter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5AA5-EF31-4024-A51B-3A0093AE0911}">
  <dimension ref="A1:W11"/>
  <sheetViews>
    <sheetView zoomScale="110" zoomScaleNormal="110" workbookViewId="0">
      <selection activeCell="A11" sqref="A11"/>
    </sheetView>
  </sheetViews>
  <sheetFormatPr defaultRowHeight="14.25" x14ac:dyDescent="0.2"/>
  <cols>
    <col min="1" max="1" width="13.75" bestFit="1" customWidth="1"/>
    <col min="2" max="2" width="13.5" bestFit="1" customWidth="1"/>
    <col min="3" max="3" width="7.875" bestFit="1" customWidth="1"/>
    <col min="4" max="4" width="9.625" bestFit="1" customWidth="1"/>
    <col min="5" max="5" width="7.75" bestFit="1" customWidth="1"/>
    <col min="6" max="6" width="14.125" bestFit="1" customWidth="1"/>
    <col min="7" max="7" width="7.875" bestFit="1" customWidth="1"/>
    <col min="8" max="8" width="9.625" bestFit="1" customWidth="1"/>
    <col min="9" max="9" width="7.75" bestFit="1" customWidth="1"/>
    <col min="10" max="10" width="16.5" bestFit="1" customWidth="1"/>
    <col min="11" max="11" width="14.75" bestFit="1" customWidth="1"/>
    <col min="12" max="12" width="16" bestFit="1" customWidth="1"/>
    <col min="13" max="13" width="14.125" bestFit="1" customWidth="1"/>
    <col min="14" max="14" width="13.625" bestFit="1" customWidth="1"/>
    <col min="15" max="15" width="15" bestFit="1" customWidth="1"/>
    <col min="16" max="16" width="11.625" bestFit="1" customWidth="1"/>
    <col min="17" max="17" width="16.625" bestFit="1" customWidth="1"/>
    <col min="18" max="18" width="18.875" bestFit="1" customWidth="1"/>
    <col min="19" max="19" width="15.125" bestFit="1" customWidth="1"/>
    <col min="20" max="20" width="16.5" bestFit="1" customWidth="1"/>
    <col min="21" max="21" width="14" bestFit="1" customWidth="1"/>
    <col min="22" max="22" width="22.625" bestFit="1" customWidth="1"/>
    <col min="23" max="23" width="21.375" bestFit="1" customWidth="1"/>
  </cols>
  <sheetData>
    <row r="1" spans="1:23" ht="15" x14ac:dyDescent="0.25">
      <c r="A1" s="166" t="s">
        <v>322</v>
      </c>
      <c r="B1" s="167" t="s">
        <v>323</v>
      </c>
      <c r="C1" s="167" t="s">
        <v>324</v>
      </c>
      <c r="D1" s="167" t="s">
        <v>326</v>
      </c>
      <c r="E1" s="167" t="s">
        <v>327</v>
      </c>
      <c r="F1" s="169" t="s">
        <v>328</v>
      </c>
      <c r="G1" s="169" t="s">
        <v>324</v>
      </c>
      <c r="H1" s="169" t="s">
        <v>326</v>
      </c>
      <c r="I1" s="169" t="s">
        <v>327</v>
      </c>
      <c r="J1" s="171" t="s">
        <v>329</v>
      </c>
      <c r="K1" s="171" t="s">
        <v>330</v>
      </c>
      <c r="L1" s="172" t="s">
        <v>331</v>
      </c>
      <c r="M1" s="173" t="s">
        <v>332</v>
      </c>
      <c r="N1" s="174" t="s">
        <v>333</v>
      </c>
      <c r="O1" s="174" t="s">
        <v>334</v>
      </c>
      <c r="P1" s="171" t="s">
        <v>335</v>
      </c>
      <c r="Q1" s="267" t="s">
        <v>336</v>
      </c>
      <c r="R1" s="267" t="s">
        <v>337</v>
      </c>
      <c r="S1" s="176" t="s">
        <v>338</v>
      </c>
      <c r="T1" s="176" t="s">
        <v>339</v>
      </c>
      <c r="U1" s="176" t="s">
        <v>340</v>
      </c>
      <c r="V1" s="187" t="s">
        <v>341</v>
      </c>
      <c r="W1" s="187" t="s">
        <v>342</v>
      </c>
    </row>
    <row r="2" spans="1:23" ht="15" x14ac:dyDescent="0.25">
      <c r="A2" s="177" t="s">
        <v>284</v>
      </c>
      <c r="B2" s="178">
        <f t="shared" ref="B2:B11" si="0">C2+D2+E2</f>
        <v>46</v>
      </c>
      <c r="C2" s="178">
        <v>10</v>
      </c>
      <c r="D2" s="178">
        <v>11</v>
      </c>
      <c r="E2" s="178">
        <v>25</v>
      </c>
      <c r="F2" s="179">
        <f t="shared" ref="F2:F11" si="1">G2+H2+I2</f>
        <v>22</v>
      </c>
      <c r="G2" s="179">
        <v>6</v>
      </c>
      <c r="H2" s="179">
        <v>11</v>
      </c>
      <c r="I2" s="179">
        <v>5</v>
      </c>
      <c r="J2" s="180">
        <v>2</v>
      </c>
      <c r="K2" s="180">
        <v>16</v>
      </c>
      <c r="L2" s="266">
        <v>41</v>
      </c>
      <c r="M2" s="181">
        <v>3</v>
      </c>
      <c r="N2" s="182">
        <v>45</v>
      </c>
      <c r="O2" s="182">
        <v>9</v>
      </c>
      <c r="P2" s="180">
        <v>1</v>
      </c>
      <c r="Q2" s="183">
        <v>8</v>
      </c>
      <c r="R2" s="183">
        <v>3</v>
      </c>
      <c r="S2" s="184">
        <v>3</v>
      </c>
      <c r="T2" s="184">
        <v>1</v>
      </c>
      <c r="U2" s="184">
        <v>1</v>
      </c>
      <c r="V2" s="185">
        <v>25</v>
      </c>
      <c r="W2" s="185">
        <v>26</v>
      </c>
    </row>
    <row r="3" spans="1:23" ht="15" x14ac:dyDescent="0.25">
      <c r="A3" s="177" t="s">
        <v>285</v>
      </c>
      <c r="B3" s="178">
        <f t="shared" si="0"/>
        <v>40</v>
      </c>
      <c r="C3" s="178">
        <v>6</v>
      </c>
      <c r="D3" s="178">
        <v>10</v>
      </c>
      <c r="E3" s="178">
        <v>24</v>
      </c>
      <c r="F3" s="179">
        <f t="shared" si="1"/>
        <v>29</v>
      </c>
      <c r="G3" s="179">
        <v>9</v>
      </c>
      <c r="H3" s="179">
        <v>15</v>
      </c>
      <c r="I3" s="179">
        <v>5</v>
      </c>
      <c r="J3" s="180">
        <v>3</v>
      </c>
      <c r="K3" s="180">
        <v>14</v>
      </c>
      <c r="L3" s="266">
        <v>53</v>
      </c>
      <c r="M3" s="181">
        <v>4</v>
      </c>
      <c r="N3" s="182">
        <v>32</v>
      </c>
      <c r="O3" s="182">
        <v>13</v>
      </c>
      <c r="P3" s="180">
        <v>0</v>
      </c>
      <c r="Q3" s="183">
        <v>2</v>
      </c>
      <c r="R3" s="183">
        <v>1</v>
      </c>
      <c r="S3" s="184">
        <v>4</v>
      </c>
      <c r="T3" s="184">
        <v>0</v>
      </c>
      <c r="U3" s="184">
        <v>0</v>
      </c>
      <c r="V3" s="185">
        <v>27</v>
      </c>
      <c r="W3" s="185">
        <v>32</v>
      </c>
    </row>
    <row r="4" spans="1:23" ht="15" x14ac:dyDescent="0.25">
      <c r="A4" s="177" t="s">
        <v>286</v>
      </c>
      <c r="B4" s="178">
        <f t="shared" si="0"/>
        <v>51</v>
      </c>
      <c r="C4" s="178">
        <v>11</v>
      </c>
      <c r="D4" s="178">
        <v>18</v>
      </c>
      <c r="E4" s="178">
        <v>22</v>
      </c>
      <c r="F4" s="179">
        <f t="shared" si="1"/>
        <v>26</v>
      </c>
      <c r="G4" s="179">
        <v>7</v>
      </c>
      <c r="H4" s="179">
        <v>14</v>
      </c>
      <c r="I4" s="179">
        <v>5</v>
      </c>
      <c r="J4" s="180">
        <v>3</v>
      </c>
      <c r="K4" s="180">
        <v>18</v>
      </c>
      <c r="L4" s="266">
        <v>45</v>
      </c>
      <c r="M4" s="181">
        <v>2</v>
      </c>
      <c r="N4" s="182">
        <v>26</v>
      </c>
      <c r="O4" s="182">
        <v>18</v>
      </c>
      <c r="P4" s="180">
        <v>0</v>
      </c>
      <c r="Q4" s="183">
        <v>4</v>
      </c>
      <c r="R4" s="183">
        <v>1</v>
      </c>
      <c r="S4" s="184">
        <v>5</v>
      </c>
      <c r="T4" s="184">
        <v>0</v>
      </c>
      <c r="U4" s="184">
        <v>1</v>
      </c>
      <c r="V4" s="185">
        <v>24</v>
      </c>
      <c r="W4" s="185">
        <v>36</v>
      </c>
    </row>
    <row r="5" spans="1:23" ht="15" x14ac:dyDescent="0.25">
      <c r="A5" s="177" t="s">
        <v>287</v>
      </c>
      <c r="B5" s="178">
        <f t="shared" si="0"/>
        <v>54</v>
      </c>
      <c r="C5" s="178">
        <v>7</v>
      </c>
      <c r="D5" s="178">
        <v>18</v>
      </c>
      <c r="E5" s="178">
        <v>29</v>
      </c>
      <c r="F5" s="179">
        <f t="shared" si="1"/>
        <v>31</v>
      </c>
      <c r="G5" s="179">
        <v>10</v>
      </c>
      <c r="H5" s="179">
        <v>8</v>
      </c>
      <c r="I5" s="179">
        <v>13</v>
      </c>
      <c r="J5" s="180">
        <v>1</v>
      </c>
      <c r="K5" s="180">
        <v>22</v>
      </c>
      <c r="L5" s="266">
        <v>40</v>
      </c>
      <c r="M5" s="181">
        <v>3</v>
      </c>
      <c r="N5" s="182">
        <v>32</v>
      </c>
      <c r="O5" s="182">
        <v>18</v>
      </c>
      <c r="P5" s="180">
        <v>2</v>
      </c>
      <c r="Q5" s="183">
        <v>3</v>
      </c>
      <c r="R5" s="183">
        <v>3</v>
      </c>
      <c r="S5" s="184">
        <v>4</v>
      </c>
      <c r="T5" s="184">
        <v>3</v>
      </c>
      <c r="U5" s="184">
        <v>4</v>
      </c>
      <c r="V5" s="185">
        <v>24</v>
      </c>
      <c r="W5" s="185">
        <v>38</v>
      </c>
    </row>
    <row r="6" spans="1:23" ht="15" x14ac:dyDescent="0.25">
      <c r="A6" s="177" t="s">
        <v>288</v>
      </c>
      <c r="B6" s="178">
        <f t="shared" si="0"/>
        <v>53</v>
      </c>
      <c r="C6" s="178">
        <v>5</v>
      </c>
      <c r="D6" s="178">
        <v>24</v>
      </c>
      <c r="E6" s="178">
        <v>24</v>
      </c>
      <c r="F6" s="179">
        <f t="shared" si="1"/>
        <v>26</v>
      </c>
      <c r="G6" s="179">
        <v>5</v>
      </c>
      <c r="H6" s="179">
        <v>11</v>
      </c>
      <c r="I6" s="179">
        <v>10</v>
      </c>
      <c r="J6" s="180">
        <v>2</v>
      </c>
      <c r="K6" s="180">
        <v>19</v>
      </c>
      <c r="L6" s="266">
        <v>39</v>
      </c>
      <c r="M6" s="181">
        <v>3</v>
      </c>
      <c r="N6" s="182">
        <v>30</v>
      </c>
      <c r="O6" s="182">
        <v>18</v>
      </c>
      <c r="P6" s="180">
        <v>0</v>
      </c>
      <c r="Q6" s="183">
        <v>0</v>
      </c>
      <c r="R6" s="183">
        <v>1</v>
      </c>
      <c r="S6" s="184">
        <v>8</v>
      </c>
      <c r="T6" s="184">
        <v>2</v>
      </c>
      <c r="U6" s="184">
        <v>2</v>
      </c>
      <c r="V6" s="185">
        <v>26</v>
      </c>
      <c r="W6" s="185">
        <v>41</v>
      </c>
    </row>
    <row r="7" spans="1:23" ht="15" x14ac:dyDescent="0.25">
      <c r="A7" s="177" t="s">
        <v>315</v>
      </c>
      <c r="B7" s="178">
        <f t="shared" si="0"/>
        <v>52</v>
      </c>
      <c r="C7" s="178">
        <v>10</v>
      </c>
      <c r="D7" s="178">
        <v>15</v>
      </c>
      <c r="E7" s="178">
        <v>27</v>
      </c>
      <c r="F7" s="179">
        <f t="shared" si="1"/>
        <v>27</v>
      </c>
      <c r="G7" s="179">
        <v>7</v>
      </c>
      <c r="H7" s="179">
        <v>11</v>
      </c>
      <c r="I7" s="179">
        <v>9</v>
      </c>
      <c r="J7" s="180">
        <v>0</v>
      </c>
      <c r="K7" s="180">
        <v>13</v>
      </c>
      <c r="L7" s="266">
        <v>44</v>
      </c>
      <c r="M7" s="181">
        <v>3</v>
      </c>
      <c r="N7" s="182">
        <v>32</v>
      </c>
      <c r="O7" s="182">
        <v>12</v>
      </c>
      <c r="P7" s="180">
        <v>1</v>
      </c>
      <c r="Q7" s="183">
        <v>1</v>
      </c>
      <c r="R7" s="183">
        <v>2</v>
      </c>
      <c r="S7" s="184">
        <v>4</v>
      </c>
      <c r="T7" s="184">
        <v>0</v>
      </c>
      <c r="U7" s="184">
        <v>1</v>
      </c>
      <c r="V7" s="185">
        <v>24</v>
      </c>
      <c r="W7" s="185">
        <v>25</v>
      </c>
    </row>
    <row r="8" spans="1:23" ht="15" x14ac:dyDescent="0.25">
      <c r="A8" s="177" t="s">
        <v>289</v>
      </c>
      <c r="B8" s="178">
        <f t="shared" si="0"/>
        <v>48</v>
      </c>
      <c r="C8" s="178">
        <v>10</v>
      </c>
      <c r="D8" s="178">
        <v>16</v>
      </c>
      <c r="E8" s="178">
        <v>22</v>
      </c>
      <c r="F8" s="179">
        <f t="shared" si="1"/>
        <v>29</v>
      </c>
      <c r="G8" s="179">
        <v>8</v>
      </c>
      <c r="H8" s="179">
        <v>10</v>
      </c>
      <c r="I8" s="179">
        <v>11</v>
      </c>
      <c r="J8" s="180">
        <v>6</v>
      </c>
      <c r="K8" s="180">
        <v>14</v>
      </c>
      <c r="L8" s="266">
        <v>41</v>
      </c>
      <c r="M8" s="181">
        <v>3</v>
      </c>
      <c r="N8" s="182">
        <v>40</v>
      </c>
      <c r="O8" s="182">
        <v>13</v>
      </c>
      <c r="P8" s="180">
        <v>0</v>
      </c>
      <c r="Q8" s="183">
        <v>0</v>
      </c>
      <c r="R8" s="183">
        <v>1</v>
      </c>
      <c r="S8" s="184">
        <v>3</v>
      </c>
      <c r="T8" s="184">
        <v>2</v>
      </c>
      <c r="U8" s="184">
        <v>0</v>
      </c>
      <c r="V8" s="185">
        <v>29</v>
      </c>
      <c r="W8" s="185">
        <v>37</v>
      </c>
    </row>
    <row r="9" spans="1:23" ht="15" x14ac:dyDescent="0.25">
      <c r="A9" s="177" t="s">
        <v>290</v>
      </c>
      <c r="B9" s="178">
        <f t="shared" si="0"/>
        <v>42</v>
      </c>
      <c r="C9" s="178">
        <v>9</v>
      </c>
      <c r="D9" s="178">
        <v>18</v>
      </c>
      <c r="E9" s="178">
        <v>15</v>
      </c>
      <c r="F9" s="179">
        <f t="shared" si="1"/>
        <v>20</v>
      </c>
      <c r="G9" s="179">
        <v>4</v>
      </c>
      <c r="H9" s="179">
        <v>10</v>
      </c>
      <c r="I9" s="179">
        <v>6</v>
      </c>
      <c r="J9" s="180">
        <v>2</v>
      </c>
      <c r="K9" s="180">
        <v>16</v>
      </c>
      <c r="L9" s="266">
        <v>51</v>
      </c>
      <c r="M9" s="181">
        <v>1</v>
      </c>
      <c r="N9" s="182">
        <v>29</v>
      </c>
      <c r="O9" s="182">
        <v>13</v>
      </c>
      <c r="P9" s="180">
        <v>0</v>
      </c>
      <c r="Q9" s="183">
        <v>5</v>
      </c>
      <c r="R9" s="183">
        <v>2</v>
      </c>
      <c r="S9" s="184">
        <v>6</v>
      </c>
      <c r="T9" s="184">
        <v>4</v>
      </c>
      <c r="U9" s="184">
        <v>1</v>
      </c>
      <c r="V9" s="185">
        <v>31</v>
      </c>
      <c r="W9" s="185">
        <v>35</v>
      </c>
    </row>
    <row r="10" spans="1:23" ht="15" x14ac:dyDescent="0.25">
      <c r="A10" s="177" t="s">
        <v>314</v>
      </c>
      <c r="B10" s="178">
        <f t="shared" si="0"/>
        <v>42</v>
      </c>
      <c r="C10" s="178">
        <v>5</v>
      </c>
      <c r="D10" s="178">
        <v>17</v>
      </c>
      <c r="E10" s="178">
        <v>20</v>
      </c>
      <c r="F10" s="179">
        <f t="shared" si="1"/>
        <v>26</v>
      </c>
      <c r="G10" s="179">
        <v>7</v>
      </c>
      <c r="H10" s="179">
        <v>9</v>
      </c>
      <c r="I10" s="179">
        <v>10</v>
      </c>
      <c r="J10" s="180">
        <v>2</v>
      </c>
      <c r="K10" s="180">
        <v>13</v>
      </c>
      <c r="L10" s="266">
        <v>39</v>
      </c>
      <c r="M10" s="181">
        <v>3</v>
      </c>
      <c r="N10" s="182">
        <v>41</v>
      </c>
      <c r="O10" s="182">
        <v>8</v>
      </c>
      <c r="P10" s="180">
        <v>1</v>
      </c>
      <c r="Q10" s="183">
        <v>6</v>
      </c>
      <c r="R10" s="183">
        <v>1</v>
      </c>
      <c r="S10" s="184">
        <v>10</v>
      </c>
      <c r="T10" s="184">
        <v>1</v>
      </c>
      <c r="U10" s="184">
        <v>2</v>
      </c>
      <c r="V10" s="185">
        <v>25</v>
      </c>
      <c r="W10" s="185">
        <v>27</v>
      </c>
    </row>
    <row r="11" spans="1:23" ht="15" x14ac:dyDescent="0.25">
      <c r="A11" s="177" t="s">
        <v>305</v>
      </c>
      <c r="B11" s="178">
        <f t="shared" si="0"/>
        <v>35</v>
      </c>
      <c r="C11" s="178">
        <v>8</v>
      </c>
      <c r="D11" s="178">
        <v>5</v>
      </c>
      <c r="E11" s="178">
        <v>22</v>
      </c>
      <c r="F11" s="179">
        <f t="shared" si="1"/>
        <v>28</v>
      </c>
      <c r="G11" s="179">
        <v>8</v>
      </c>
      <c r="H11" s="179">
        <v>14</v>
      </c>
      <c r="I11" s="179">
        <v>6</v>
      </c>
      <c r="J11" s="180">
        <v>3</v>
      </c>
      <c r="K11" s="180">
        <v>13</v>
      </c>
      <c r="L11" s="266">
        <v>36</v>
      </c>
      <c r="M11" s="181">
        <v>1</v>
      </c>
      <c r="N11" s="182">
        <v>34</v>
      </c>
      <c r="O11" s="182">
        <v>14</v>
      </c>
      <c r="P11" s="180">
        <v>0</v>
      </c>
      <c r="Q11" s="183">
        <v>2</v>
      </c>
      <c r="R11" s="183">
        <v>3</v>
      </c>
      <c r="S11" s="184">
        <v>3</v>
      </c>
      <c r="T11" s="184">
        <v>1</v>
      </c>
      <c r="U11" s="184">
        <v>1</v>
      </c>
      <c r="V11" s="185">
        <v>27</v>
      </c>
      <c r="W11" s="185">
        <v>36</v>
      </c>
    </row>
  </sheetData>
  <autoFilter ref="A1:W1" xr:uid="{EC8E9810-5F0B-49E2-A4C6-647D707982C4}">
    <sortState ref="A2:W11">
      <sortCondition ref="A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52"/>
  <sheetViews>
    <sheetView zoomScaleNormal="100" workbookViewId="0">
      <selection activeCell="V52" sqref="V52"/>
    </sheetView>
  </sheetViews>
  <sheetFormatPr defaultRowHeight="14.25" x14ac:dyDescent="0.2"/>
  <cols>
    <col min="1" max="1" width="7.625" style="83" bestFit="1" customWidth="1"/>
    <col min="2" max="2" width="8.875" bestFit="1" customWidth="1"/>
    <col min="3" max="3" width="9.125" bestFit="1" customWidth="1"/>
    <col min="4" max="4" width="12" bestFit="1" customWidth="1"/>
    <col min="5" max="5" width="9.125" bestFit="1" customWidth="1"/>
    <col min="6" max="6" width="12.25" bestFit="1" customWidth="1"/>
    <col min="7" max="7" width="8.375" bestFit="1" customWidth="1"/>
    <col min="8" max="8" width="9.5" bestFit="1" customWidth="1"/>
    <col min="9" max="9" width="10.375" bestFit="1" customWidth="1"/>
    <col min="10" max="10" width="9.875" bestFit="1" customWidth="1"/>
    <col min="11" max="11" width="9.25" bestFit="1" customWidth="1"/>
    <col min="14" max="14" width="7.625" bestFit="1" customWidth="1"/>
    <col min="15" max="15" width="8.875" bestFit="1" customWidth="1"/>
    <col min="16" max="16" width="9.125" bestFit="1" customWidth="1"/>
    <col min="17" max="17" width="12" bestFit="1" customWidth="1"/>
    <col min="18" max="18" width="9.125" bestFit="1" customWidth="1"/>
    <col min="19" max="19" width="12.25" bestFit="1" customWidth="1"/>
    <col min="20" max="20" width="8.375" bestFit="1" customWidth="1"/>
    <col min="21" max="21" width="9.5" bestFit="1" customWidth="1"/>
    <col min="22" max="22" width="10.375" bestFit="1" customWidth="1"/>
    <col min="23" max="23" width="9.875" bestFit="1" customWidth="1"/>
    <col min="24" max="24" width="9.25" bestFit="1" customWidth="1"/>
  </cols>
  <sheetData>
    <row r="1" spans="1:24" ht="15" x14ac:dyDescent="0.2">
      <c r="A1" s="496" t="s">
        <v>373</v>
      </c>
      <c r="B1" s="496"/>
      <c r="C1" s="496"/>
      <c r="D1" s="496"/>
      <c r="E1" s="496"/>
      <c r="F1" s="496"/>
      <c r="G1" s="496"/>
      <c r="H1" s="496"/>
      <c r="I1" s="496"/>
      <c r="J1" s="496"/>
      <c r="K1" s="496"/>
      <c r="N1" s="496" t="s">
        <v>374</v>
      </c>
      <c r="O1" s="496"/>
      <c r="P1" s="496"/>
      <c r="Q1" s="496"/>
      <c r="R1" s="496"/>
      <c r="S1" s="496"/>
      <c r="T1" s="496"/>
      <c r="U1" s="496"/>
      <c r="V1" s="496"/>
      <c r="W1" s="496"/>
      <c r="X1" s="496"/>
    </row>
    <row r="2" spans="1:24" ht="15" x14ac:dyDescent="0.2">
      <c r="A2" s="191" t="s">
        <v>268</v>
      </c>
      <c r="B2" s="190" t="s">
        <v>347</v>
      </c>
      <c r="C2" s="190" t="s">
        <v>284</v>
      </c>
      <c r="D2" s="190" t="s">
        <v>348</v>
      </c>
      <c r="E2" s="190" t="s">
        <v>285</v>
      </c>
      <c r="F2" s="190" t="s">
        <v>286</v>
      </c>
      <c r="G2" s="190" t="s">
        <v>287</v>
      </c>
      <c r="H2" s="190" t="s">
        <v>315</v>
      </c>
      <c r="I2" s="190" t="s">
        <v>288</v>
      </c>
      <c r="J2" s="190" t="s">
        <v>289</v>
      </c>
      <c r="K2" s="190" t="s">
        <v>290</v>
      </c>
      <c r="N2" s="191" t="s">
        <v>268</v>
      </c>
      <c r="O2" s="190" t="s">
        <v>347</v>
      </c>
      <c r="P2" s="190" t="s">
        <v>284</v>
      </c>
      <c r="Q2" s="190" t="s">
        <v>348</v>
      </c>
      <c r="R2" s="190" t="s">
        <v>285</v>
      </c>
      <c r="S2" s="190" t="s">
        <v>286</v>
      </c>
      <c r="T2" s="190" t="s">
        <v>287</v>
      </c>
      <c r="U2" s="190" t="s">
        <v>315</v>
      </c>
      <c r="V2" s="190" t="s">
        <v>288</v>
      </c>
      <c r="W2" s="190" t="s">
        <v>289</v>
      </c>
      <c r="X2" s="190" t="s">
        <v>290</v>
      </c>
    </row>
    <row r="3" spans="1:24" ht="15" x14ac:dyDescent="0.2">
      <c r="A3" s="191">
        <v>1</v>
      </c>
      <c r="B3" s="86">
        <v>22</v>
      </c>
      <c r="C3" s="86">
        <v>8</v>
      </c>
      <c r="D3" s="86">
        <v>8</v>
      </c>
      <c r="E3" s="86">
        <v>22</v>
      </c>
      <c r="F3" s="86">
        <v>8</v>
      </c>
      <c r="G3" s="86">
        <v>16</v>
      </c>
      <c r="H3" s="86">
        <v>1</v>
      </c>
      <c r="I3" s="86">
        <v>1</v>
      </c>
      <c r="J3" s="86">
        <v>27</v>
      </c>
      <c r="K3" s="86">
        <v>16</v>
      </c>
      <c r="N3" s="191">
        <v>1</v>
      </c>
      <c r="O3" s="86">
        <v>62</v>
      </c>
      <c r="P3" s="86">
        <v>69.5</v>
      </c>
      <c r="Q3" s="86">
        <v>68</v>
      </c>
      <c r="R3" s="86">
        <v>61</v>
      </c>
      <c r="S3" s="86">
        <v>78.5</v>
      </c>
      <c r="T3" s="86">
        <v>91</v>
      </c>
      <c r="U3" s="86">
        <v>80</v>
      </c>
      <c r="V3" s="86">
        <v>81.5</v>
      </c>
      <c r="W3" s="86">
        <v>76.5</v>
      </c>
      <c r="X3" s="86">
        <v>68.5</v>
      </c>
    </row>
    <row r="4" spans="1:24" ht="15" x14ac:dyDescent="0.2">
      <c r="A4" s="191">
        <v>2</v>
      </c>
      <c r="B4" s="86">
        <v>15</v>
      </c>
      <c r="C4" s="86">
        <v>3</v>
      </c>
      <c r="D4" s="86">
        <v>27</v>
      </c>
      <c r="E4" s="86">
        <v>15</v>
      </c>
      <c r="F4" s="86">
        <v>15</v>
      </c>
      <c r="G4" s="86">
        <v>3</v>
      </c>
      <c r="H4" s="86">
        <v>15</v>
      </c>
      <c r="I4" s="86">
        <v>3</v>
      </c>
      <c r="J4" s="86">
        <v>24</v>
      </c>
      <c r="K4" s="86">
        <v>3</v>
      </c>
      <c r="N4" s="191">
        <v>2</v>
      </c>
      <c r="O4" s="86">
        <v>73.5</v>
      </c>
      <c r="P4" s="86">
        <v>72.5</v>
      </c>
      <c r="Q4" s="86">
        <v>75</v>
      </c>
      <c r="R4" s="86">
        <v>81</v>
      </c>
      <c r="S4" s="86">
        <v>70</v>
      </c>
      <c r="T4" s="86">
        <v>75</v>
      </c>
      <c r="U4" s="86">
        <v>85.5</v>
      </c>
      <c r="V4" s="86">
        <v>70.5</v>
      </c>
      <c r="W4" s="86">
        <v>72.5</v>
      </c>
      <c r="X4" s="86">
        <v>68</v>
      </c>
    </row>
    <row r="5" spans="1:24" ht="15" x14ac:dyDescent="0.2">
      <c r="A5" s="191">
        <v>3</v>
      </c>
      <c r="B5" s="86">
        <v>4</v>
      </c>
      <c r="C5" s="86">
        <v>19</v>
      </c>
      <c r="D5" s="86">
        <v>25</v>
      </c>
      <c r="E5" s="86">
        <v>4</v>
      </c>
      <c r="F5" s="86">
        <v>25</v>
      </c>
      <c r="G5" s="86">
        <v>4</v>
      </c>
      <c r="H5" s="86">
        <v>4</v>
      </c>
      <c r="I5" s="86">
        <v>4</v>
      </c>
      <c r="J5" s="86">
        <v>0</v>
      </c>
      <c r="K5" s="86">
        <v>19</v>
      </c>
      <c r="N5" s="191">
        <v>3</v>
      </c>
      <c r="O5" s="86">
        <v>79.5</v>
      </c>
      <c r="P5" s="86">
        <v>69</v>
      </c>
      <c r="Q5" s="86">
        <v>62</v>
      </c>
      <c r="R5" s="86">
        <v>79</v>
      </c>
      <c r="S5" s="86">
        <v>72.5</v>
      </c>
      <c r="T5" s="86">
        <v>67</v>
      </c>
      <c r="U5" s="86">
        <v>76</v>
      </c>
      <c r="V5" s="86">
        <v>73</v>
      </c>
      <c r="W5" s="86">
        <v>83</v>
      </c>
      <c r="X5" s="86">
        <v>67.5</v>
      </c>
    </row>
    <row r="6" spans="1:24" ht="15" x14ac:dyDescent="0.2">
      <c r="A6" s="191">
        <v>4</v>
      </c>
      <c r="B6" s="86">
        <v>14</v>
      </c>
      <c r="C6" s="86">
        <v>3</v>
      </c>
      <c r="D6" s="86">
        <v>23</v>
      </c>
      <c r="E6" s="86">
        <v>14</v>
      </c>
      <c r="F6" s="86">
        <v>3</v>
      </c>
      <c r="G6" s="86">
        <v>3</v>
      </c>
      <c r="H6" s="86">
        <v>23</v>
      </c>
      <c r="I6" s="86">
        <v>3</v>
      </c>
      <c r="J6" s="86">
        <v>14</v>
      </c>
      <c r="K6" s="86">
        <v>23</v>
      </c>
      <c r="N6" s="191">
        <v>4</v>
      </c>
      <c r="O6" s="86">
        <v>64</v>
      </c>
      <c r="P6" s="86">
        <v>77.5</v>
      </c>
      <c r="Q6" s="86">
        <v>66</v>
      </c>
      <c r="R6" s="86">
        <v>67</v>
      </c>
      <c r="S6" s="86">
        <v>73.5</v>
      </c>
      <c r="T6" s="86">
        <v>73.5</v>
      </c>
      <c r="U6" s="86">
        <v>70.5</v>
      </c>
      <c r="V6" s="86">
        <v>70.5</v>
      </c>
      <c r="W6" s="86">
        <v>72.5</v>
      </c>
      <c r="X6" s="86">
        <v>64.5</v>
      </c>
    </row>
    <row r="7" spans="1:24" ht="15" x14ac:dyDescent="0.2">
      <c r="A7" s="191">
        <v>5</v>
      </c>
      <c r="B7" s="86">
        <v>2</v>
      </c>
      <c r="C7" s="86">
        <v>11</v>
      </c>
      <c r="D7" s="86">
        <v>11</v>
      </c>
      <c r="E7" s="86">
        <v>19</v>
      </c>
      <c r="F7" s="86">
        <v>25</v>
      </c>
      <c r="G7" s="86">
        <v>19</v>
      </c>
      <c r="H7" s="86">
        <v>25</v>
      </c>
      <c r="I7" s="86">
        <v>2</v>
      </c>
      <c r="J7" s="86">
        <v>11</v>
      </c>
      <c r="K7" s="86">
        <v>2</v>
      </c>
      <c r="N7" s="191">
        <v>5</v>
      </c>
      <c r="O7" s="86">
        <v>76</v>
      </c>
      <c r="P7" s="86">
        <v>73.5</v>
      </c>
      <c r="Q7" s="86">
        <v>62.5</v>
      </c>
      <c r="R7" s="86">
        <v>65.5</v>
      </c>
      <c r="S7" s="86">
        <v>85</v>
      </c>
      <c r="T7" s="86">
        <v>65</v>
      </c>
      <c r="U7" s="86">
        <v>82</v>
      </c>
      <c r="V7" s="86">
        <v>71</v>
      </c>
      <c r="W7" s="86">
        <v>69.5</v>
      </c>
      <c r="X7" s="86">
        <v>78.5</v>
      </c>
    </row>
    <row r="8" spans="1:24" ht="15" x14ac:dyDescent="0.2">
      <c r="A8" s="191">
        <v>6</v>
      </c>
      <c r="B8" s="86">
        <v>24</v>
      </c>
      <c r="C8" s="86">
        <v>19</v>
      </c>
      <c r="D8" s="86">
        <v>19</v>
      </c>
      <c r="E8" s="86">
        <v>9</v>
      </c>
      <c r="F8" s="86">
        <v>1</v>
      </c>
      <c r="G8" s="86">
        <v>9</v>
      </c>
      <c r="H8" s="86">
        <v>27</v>
      </c>
      <c r="I8" s="86">
        <v>9</v>
      </c>
      <c r="J8" s="86">
        <v>1</v>
      </c>
      <c r="K8" s="86">
        <v>9</v>
      </c>
      <c r="N8" s="191">
        <v>6</v>
      </c>
      <c r="O8" s="86">
        <v>72.5</v>
      </c>
      <c r="P8" s="86">
        <v>69.5</v>
      </c>
      <c r="Q8" s="86">
        <v>78.5</v>
      </c>
      <c r="R8" s="86">
        <v>71.5</v>
      </c>
      <c r="S8" s="86">
        <v>63</v>
      </c>
      <c r="T8" s="86">
        <v>75</v>
      </c>
      <c r="U8" s="86">
        <v>68</v>
      </c>
      <c r="V8" s="86">
        <v>88.5</v>
      </c>
      <c r="W8" s="86">
        <v>67.5</v>
      </c>
      <c r="X8" s="86">
        <v>67</v>
      </c>
    </row>
    <row r="9" spans="1:24" ht="15" x14ac:dyDescent="0.2">
      <c r="A9" s="191">
        <v>7</v>
      </c>
      <c r="B9" s="86">
        <v>3</v>
      </c>
      <c r="C9" s="86">
        <v>18</v>
      </c>
      <c r="D9" s="86">
        <v>27</v>
      </c>
      <c r="E9" s="86">
        <v>18</v>
      </c>
      <c r="F9" s="86">
        <v>3</v>
      </c>
      <c r="G9" s="86">
        <v>3</v>
      </c>
      <c r="H9" s="86">
        <v>0</v>
      </c>
      <c r="I9" s="86">
        <v>3</v>
      </c>
      <c r="J9" s="86">
        <v>18</v>
      </c>
      <c r="K9" s="86">
        <v>3</v>
      </c>
      <c r="N9" s="191">
        <v>7</v>
      </c>
      <c r="O9" s="86">
        <v>63.5</v>
      </c>
      <c r="P9" s="86">
        <v>68.5</v>
      </c>
      <c r="Q9" s="86">
        <v>68</v>
      </c>
      <c r="R9" s="86">
        <v>73</v>
      </c>
      <c r="S9" s="86">
        <v>74.5</v>
      </c>
      <c r="T9" s="86">
        <v>77</v>
      </c>
      <c r="U9" s="86">
        <v>68</v>
      </c>
      <c r="V9" s="86">
        <v>79</v>
      </c>
      <c r="W9" s="86">
        <v>67</v>
      </c>
      <c r="X9" s="86">
        <v>83</v>
      </c>
    </row>
    <row r="10" spans="1:24" ht="15" x14ac:dyDescent="0.2">
      <c r="A10" s="191">
        <v>8</v>
      </c>
      <c r="B10" s="86">
        <v>2</v>
      </c>
      <c r="C10" s="86">
        <v>10</v>
      </c>
      <c r="D10" s="86">
        <v>18</v>
      </c>
      <c r="E10" s="86">
        <v>18</v>
      </c>
      <c r="F10" s="86">
        <v>27</v>
      </c>
      <c r="G10" s="86">
        <v>18</v>
      </c>
      <c r="H10" s="86">
        <v>2</v>
      </c>
      <c r="I10" s="86">
        <v>2</v>
      </c>
      <c r="J10" s="86">
        <v>10</v>
      </c>
      <c r="K10" s="86">
        <v>18</v>
      </c>
      <c r="N10" s="191">
        <v>8</v>
      </c>
      <c r="O10" s="86">
        <v>66</v>
      </c>
      <c r="P10" s="86">
        <v>76.5</v>
      </c>
      <c r="Q10" s="86">
        <v>75.5</v>
      </c>
      <c r="R10" s="86">
        <v>71</v>
      </c>
      <c r="S10" s="86">
        <v>67.5</v>
      </c>
      <c r="T10" s="86">
        <v>72.5</v>
      </c>
      <c r="U10" s="86">
        <v>75.5</v>
      </c>
      <c r="V10" s="86">
        <v>79</v>
      </c>
      <c r="W10" s="86">
        <v>60</v>
      </c>
      <c r="X10" s="86">
        <v>63</v>
      </c>
    </row>
    <row r="11" spans="1:24" ht="15" x14ac:dyDescent="0.2">
      <c r="A11" s="191">
        <v>9</v>
      </c>
      <c r="B11" s="86">
        <v>8</v>
      </c>
      <c r="C11" s="86">
        <v>22</v>
      </c>
      <c r="D11" s="86">
        <v>1</v>
      </c>
      <c r="E11" s="86">
        <v>8</v>
      </c>
      <c r="F11" s="86">
        <v>16</v>
      </c>
      <c r="G11" s="86">
        <v>8</v>
      </c>
      <c r="H11" s="86">
        <v>1</v>
      </c>
      <c r="I11" s="86">
        <v>16</v>
      </c>
      <c r="J11" s="86">
        <v>22</v>
      </c>
      <c r="K11" s="86">
        <v>27</v>
      </c>
      <c r="N11" s="191">
        <v>9</v>
      </c>
      <c r="O11" s="86">
        <v>76</v>
      </c>
      <c r="P11" s="86">
        <v>75</v>
      </c>
      <c r="Q11" s="86">
        <v>67</v>
      </c>
      <c r="R11" s="86">
        <v>66</v>
      </c>
      <c r="S11" s="86">
        <v>71.5</v>
      </c>
      <c r="T11" s="86">
        <v>62.5</v>
      </c>
      <c r="U11" s="86">
        <v>71.5</v>
      </c>
      <c r="V11" s="86">
        <v>82</v>
      </c>
      <c r="W11" s="86">
        <v>85.5</v>
      </c>
      <c r="X11" s="86">
        <v>84.5</v>
      </c>
    </row>
    <row r="12" spans="1:24" ht="15" x14ac:dyDescent="0.2">
      <c r="A12" s="191">
        <v>10</v>
      </c>
      <c r="B12" s="86">
        <v>22</v>
      </c>
      <c r="C12" s="86">
        <v>22</v>
      </c>
      <c r="D12" s="86">
        <v>27</v>
      </c>
      <c r="E12" s="86">
        <v>2</v>
      </c>
      <c r="F12" s="86">
        <v>2</v>
      </c>
      <c r="G12" s="86">
        <v>2</v>
      </c>
      <c r="H12" s="86">
        <v>12</v>
      </c>
      <c r="I12" s="86">
        <v>12</v>
      </c>
      <c r="J12" s="86">
        <v>12</v>
      </c>
      <c r="K12" s="86">
        <v>12</v>
      </c>
      <c r="N12" s="191">
        <v>10</v>
      </c>
      <c r="O12" s="86">
        <v>74</v>
      </c>
      <c r="P12" s="86">
        <v>87</v>
      </c>
      <c r="Q12" s="86">
        <v>82</v>
      </c>
      <c r="R12" s="86">
        <v>74.5</v>
      </c>
      <c r="S12" s="86">
        <v>75</v>
      </c>
      <c r="T12" s="86">
        <v>75.5</v>
      </c>
      <c r="U12" s="86">
        <v>65</v>
      </c>
      <c r="V12" s="86">
        <v>81</v>
      </c>
      <c r="W12" s="86">
        <v>65</v>
      </c>
      <c r="X12" s="86">
        <v>65.5</v>
      </c>
    </row>
    <row r="13" spans="1:24" ht="15" x14ac:dyDescent="0.2">
      <c r="A13" s="191">
        <v>11</v>
      </c>
      <c r="B13" s="86">
        <v>1</v>
      </c>
      <c r="C13" s="86">
        <v>25</v>
      </c>
      <c r="D13" s="86">
        <v>7</v>
      </c>
      <c r="E13" s="86">
        <v>14</v>
      </c>
      <c r="F13" s="86">
        <v>14</v>
      </c>
      <c r="G13" s="86">
        <v>7</v>
      </c>
      <c r="H13" s="86">
        <v>14</v>
      </c>
      <c r="I13" s="86">
        <v>14</v>
      </c>
      <c r="J13" s="86">
        <v>25</v>
      </c>
      <c r="K13" s="86">
        <v>1</v>
      </c>
      <c r="N13" s="191">
        <v>11</v>
      </c>
      <c r="O13" s="86">
        <v>78.5</v>
      </c>
      <c r="P13" s="86">
        <v>59</v>
      </c>
      <c r="Q13" s="86">
        <v>74</v>
      </c>
      <c r="R13" s="86">
        <v>80.5</v>
      </c>
      <c r="S13" s="86">
        <v>70</v>
      </c>
      <c r="T13" s="86">
        <v>74.5</v>
      </c>
      <c r="U13" s="86">
        <v>69</v>
      </c>
      <c r="V13" s="86">
        <v>67.5</v>
      </c>
      <c r="W13" s="86">
        <v>75</v>
      </c>
      <c r="X13" s="86">
        <v>72</v>
      </c>
    </row>
    <row r="14" spans="1:24" ht="15" x14ac:dyDescent="0.2">
      <c r="A14" s="191">
        <v>12</v>
      </c>
      <c r="B14" s="86">
        <v>2</v>
      </c>
      <c r="C14" s="86">
        <v>11</v>
      </c>
      <c r="D14" s="86">
        <v>21</v>
      </c>
      <c r="E14" s="86">
        <v>2</v>
      </c>
      <c r="F14" s="86">
        <v>21</v>
      </c>
      <c r="G14" s="86">
        <v>11</v>
      </c>
      <c r="H14" s="86">
        <v>21</v>
      </c>
      <c r="I14" s="86">
        <v>21</v>
      </c>
      <c r="J14" s="86">
        <v>11</v>
      </c>
      <c r="K14" s="86">
        <v>2</v>
      </c>
      <c r="N14" s="191">
        <v>12</v>
      </c>
      <c r="O14" s="86">
        <v>65</v>
      </c>
      <c r="P14" s="86">
        <v>72</v>
      </c>
      <c r="Q14" s="86">
        <v>68</v>
      </c>
      <c r="R14" s="86">
        <v>78.5</v>
      </c>
      <c r="S14" s="86">
        <v>60</v>
      </c>
      <c r="T14" s="86">
        <v>77</v>
      </c>
      <c r="U14" s="86">
        <v>72</v>
      </c>
      <c r="V14" s="86">
        <v>68</v>
      </c>
      <c r="W14" s="86">
        <v>74</v>
      </c>
      <c r="X14" s="86">
        <v>67.5</v>
      </c>
    </row>
    <row r="15" spans="1:24" ht="15" x14ac:dyDescent="0.2">
      <c r="A15" s="191">
        <v>13</v>
      </c>
      <c r="B15" s="86">
        <v>25</v>
      </c>
      <c r="C15" s="86">
        <v>2</v>
      </c>
      <c r="D15" s="86">
        <v>2</v>
      </c>
      <c r="E15" s="86">
        <v>21</v>
      </c>
      <c r="F15" s="86">
        <v>12</v>
      </c>
      <c r="G15" s="86">
        <v>25</v>
      </c>
      <c r="H15" s="86">
        <v>12</v>
      </c>
      <c r="I15" s="86">
        <v>2</v>
      </c>
      <c r="J15" s="86">
        <v>12</v>
      </c>
      <c r="K15" s="86">
        <v>12</v>
      </c>
      <c r="N15" s="191">
        <v>13</v>
      </c>
      <c r="O15" s="86">
        <v>82.5</v>
      </c>
      <c r="P15" s="86">
        <v>72.5</v>
      </c>
      <c r="Q15" s="86">
        <v>67.5</v>
      </c>
      <c r="R15" s="86">
        <v>65</v>
      </c>
      <c r="S15" s="86">
        <v>67</v>
      </c>
      <c r="T15" s="86">
        <v>81</v>
      </c>
      <c r="U15" s="86">
        <v>69</v>
      </c>
      <c r="V15" s="86">
        <v>75</v>
      </c>
      <c r="W15" s="86">
        <v>69</v>
      </c>
      <c r="X15" s="86">
        <v>65</v>
      </c>
    </row>
    <row r="16" spans="1:24" ht="15" x14ac:dyDescent="0.2">
      <c r="A16" s="191">
        <v>14</v>
      </c>
      <c r="B16" s="86">
        <v>9</v>
      </c>
      <c r="C16" s="86">
        <v>9</v>
      </c>
      <c r="D16" s="86">
        <v>20</v>
      </c>
      <c r="E16" s="86">
        <v>3</v>
      </c>
      <c r="F16" s="86">
        <v>20</v>
      </c>
      <c r="G16" s="86">
        <v>9</v>
      </c>
      <c r="H16" s="86">
        <v>27</v>
      </c>
      <c r="I16" s="86">
        <v>0</v>
      </c>
      <c r="J16" s="86">
        <v>9</v>
      </c>
      <c r="K16" s="86">
        <v>20</v>
      </c>
      <c r="N16" s="191">
        <v>14</v>
      </c>
      <c r="O16" s="86">
        <v>66</v>
      </c>
      <c r="P16" s="86">
        <v>75</v>
      </c>
      <c r="Q16" s="86">
        <v>65.5</v>
      </c>
      <c r="R16" s="86">
        <v>74</v>
      </c>
      <c r="S16" s="86">
        <v>86</v>
      </c>
      <c r="T16" s="86">
        <v>84</v>
      </c>
      <c r="U16" s="86">
        <v>80</v>
      </c>
      <c r="V16" s="86">
        <v>79</v>
      </c>
      <c r="W16" s="86">
        <v>78.5</v>
      </c>
      <c r="X16" s="86">
        <v>72</v>
      </c>
    </row>
    <row r="17" spans="1:24" ht="15" x14ac:dyDescent="0.2">
      <c r="A17" s="191">
        <v>15</v>
      </c>
      <c r="B17" s="86">
        <v>19</v>
      </c>
      <c r="C17" s="86">
        <v>24</v>
      </c>
      <c r="D17" s="86">
        <v>19</v>
      </c>
      <c r="E17" s="86">
        <v>7</v>
      </c>
      <c r="F17" s="86">
        <v>7</v>
      </c>
      <c r="G17" s="86">
        <v>7</v>
      </c>
      <c r="H17" s="86">
        <v>0</v>
      </c>
      <c r="I17" s="86">
        <v>7</v>
      </c>
      <c r="J17" s="86">
        <v>27</v>
      </c>
      <c r="K17" s="86">
        <v>7</v>
      </c>
      <c r="N17" s="191">
        <v>15</v>
      </c>
      <c r="O17" s="86">
        <v>74</v>
      </c>
      <c r="P17" s="86">
        <v>72</v>
      </c>
      <c r="Q17" s="86">
        <v>73.5</v>
      </c>
      <c r="R17" s="86">
        <v>66</v>
      </c>
      <c r="S17" s="86">
        <v>90.5</v>
      </c>
      <c r="T17" s="86">
        <v>81</v>
      </c>
      <c r="U17" s="86">
        <v>69.5</v>
      </c>
      <c r="V17" s="86">
        <v>65.5</v>
      </c>
      <c r="W17" s="86">
        <v>68</v>
      </c>
      <c r="X17" s="86">
        <v>71</v>
      </c>
    </row>
    <row r="18" spans="1:24" ht="15" x14ac:dyDescent="0.2">
      <c r="A18" s="191">
        <v>16</v>
      </c>
      <c r="B18" s="86">
        <v>13</v>
      </c>
      <c r="C18" s="86">
        <v>2</v>
      </c>
      <c r="D18" s="86">
        <v>2</v>
      </c>
      <c r="E18" s="86">
        <v>25</v>
      </c>
      <c r="F18" s="86">
        <v>25</v>
      </c>
      <c r="G18" s="86">
        <v>2</v>
      </c>
      <c r="H18" s="86">
        <v>13</v>
      </c>
      <c r="I18" s="86">
        <v>13</v>
      </c>
      <c r="J18" s="86">
        <v>13</v>
      </c>
      <c r="K18" s="86">
        <v>13</v>
      </c>
      <c r="N18" s="191">
        <v>16</v>
      </c>
      <c r="O18" s="86">
        <v>77.5</v>
      </c>
      <c r="P18" s="86">
        <v>81.5</v>
      </c>
      <c r="Q18" s="86">
        <v>77.5</v>
      </c>
      <c r="R18" s="86">
        <v>68.5</v>
      </c>
      <c r="S18" s="86">
        <v>71</v>
      </c>
      <c r="T18" s="86">
        <v>80</v>
      </c>
      <c r="U18" s="86">
        <v>77.5</v>
      </c>
      <c r="V18" s="86">
        <v>72.5</v>
      </c>
      <c r="W18" s="86">
        <v>77.5</v>
      </c>
      <c r="X18" s="86">
        <v>71</v>
      </c>
    </row>
    <row r="19" spans="1:24" ht="15" x14ac:dyDescent="0.2">
      <c r="A19" s="191">
        <v>17</v>
      </c>
      <c r="B19" s="86">
        <v>18</v>
      </c>
      <c r="C19" s="86">
        <v>27</v>
      </c>
      <c r="D19" s="86">
        <v>2</v>
      </c>
      <c r="E19" s="86">
        <v>2</v>
      </c>
      <c r="F19" s="86">
        <v>18</v>
      </c>
      <c r="G19" s="86">
        <v>18</v>
      </c>
      <c r="H19" s="86">
        <v>18</v>
      </c>
      <c r="I19" s="86">
        <v>10</v>
      </c>
      <c r="J19" s="86">
        <v>10</v>
      </c>
      <c r="K19" s="86">
        <v>2</v>
      </c>
      <c r="N19" s="191">
        <v>17</v>
      </c>
      <c r="O19" s="86">
        <v>74.5</v>
      </c>
      <c r="P19" s="86">
        <v>69.5</v>
      </c>
      <c r="Q19" s="86">
        <v>78.5</v>
      </c>
      <c r="R19" s="86">
        <v>86.5</v>
      </c>
      <c r="S19" s="86">
        <v>74.5</v>
      </c>
      <c r="T19" s="86">
        <v>68.5</v>
      </c>
      <c r="U19" s="86">
        <v>69</v>
      </c>
      <c r="V19" s="86">
        <v>80.5</v>
      </c>
      <c r="W19" s="86">
        <v>81.5</v>
      </c>
      <c r="X19" s="86">
        <v>81.5</v>
      </c>
    </row>
    <row r="20" spans="1:24" ht="15" x14ac:dyDescent="0.2">
      <c r="A20" s="191">
        <v>18</v>
      </c>
      <c r="B20" s="86">
        <v>7</v>
      </c>
      <c r="C20" s="86">
        <v>20</v>
      </c>
      <c r="D20" s="86">
        <v>7</v>
      </c>
      <c r="E20" s="86">
        <v>7</v>
      </c>
      <c r="F20" s="86">
        <v>7</v>
      </c>
      <c r="G20" s="86">
        <v>7</v>
      </c>
      <c r="H20" s="86">
        <v>20</v>
      </c>
      <c r="I20" s="86">
        <v>0</v>
      </c>
      <c r="J20" s="86">
        <v>20</v>
      </c>
      <c r="K20" s="86">
        <v>27</v>
      </c>
      <c r="N20" s="191">
        <v>18</v>
      </c>
      <c r="O20" s="86">
        <v>67</v>
      </c>
      <c r="P20" s="86">
        <v>67.5</v>
      </c>
      <c r="Q20" s="86">
        <v>71.5</v>
      </c>
      <c r="R20" s="86">
        <v>68</v>
      </c>
      <c r="S20" s="86">
        <v>71</v>
      </c>
      <c r="T20" s="86">
        <v>72.5</v>
      </c>
      <c r="U20" s="86">
        <v>70.5</v>
      </c>
      <c r="V20" s="86">
        <v>72.5</v>
      </c>
      <c r="W20" s="86">
        <v>81.5</v>
      </c>
      <c r="X20" s="86">
        <v>76.5</v>
      </c>
    </row>
    <row r="21" spans="1:24" ht="15" x14ac:dyDescent="0.2">
      <c r="A21" s="191">
        <v>19</v>
      </c>
      <c r="B21" s="86">
        <v>9</v>
      </c>
      <c r="C21" s="86">
        <v>0</v>
      </c>
      <c r="D21" s="86">
        <v>19</v>
      </c>
      <c r="E21" s="86">
        <v>19</v>
      </c>
      <c r="F21" s="86">
        <v>9</v>
      </c>
      <c r="G21" s="86">
        <v>9</v>
      </c>
      <c r="H21" s="86">
        <v>25</v>
      </c>
      <c r="I21" s="86">
        <v>9</v>
      </c>
      <c r="J21" s="86">
        <v>3</v>
      </c>
      <c r="K21" s="86">
        <v>25</v>
      </c>
      <c r="N21" s="191">
        <v>19</v>
      </c>
      <c r="O21" s="86">
        <v>73</v>
      </c>
      <c r="P21" s="86">
        <v>83</v>
      </c>
      <c r="Q21" s="86">
        <v>65</v>
      </c>
      <c r="R21" s="86">
        <v>88</v>
      </c>
      <c r="S21" s="86">
        <v>90.5</v>
      </c>
      <c r="T21" s="86">
        <v>66</v>
      </c>
      <c r="U21" s="86">
        <v>81</v>
      </c>
      <c r="V21" s="86">
        <v>78.5</v>
      </c>
      <c r="W21" s="86">
        <v>76</v>
      </c>
      <c r="X21" s="86">
        <v>75</v>
      </c>
    </row>
    <row r="22" spans="1:24" ht="15" x14ac:dyDescent="0.2">
      <c r="A22" s="191">
        <v>20</v>
      </c>
      <c r="B22" s="86">
        <v>12</v>
      </c>
      <c r="C22" s="86">
        <v>12</v>
      </c>
      <c r="D22" s="86">
        <v>21</v>
      </c>
      <c r="E22" s="86">
        <v>2</v>
      </c>
      <c r="F22" s="86">
        <v>12</v>
      </c>
      <c r="G22" s="86">
        <v>25</v>
      </c>
      <c r="H22" s="86">
        <v>2</v>
      </c>
      <c r="I22" s="86">
        <v>25</v>
      </c>
      <c r="J22" s="86">
        <v>12</v>
      </c>
      <c r="K22" s="86">
        <v>2</v>
      </c>
      <c r="N22" s="191">
        <v>20</v>
      </c>
      <c r="O22" s="86">
        <v>77</v>
      </c>
      <c r="P22" s="86">
        <v>73.5</v>
      </c>
      <c r="Q22" s="86">
        <v>73</v>
      </c>
      <c r="R22" s="86">
        <v>75.5</v>
      </c>
      <c r="S22" s="86">
        <v>91.5</v>
      </c>
      <c r="T22" s="86">
        <v>74.5</v>
      </c>
      <c r="U22" s="86">
        <v>79</v>
      </c>
      <c r="V22" s="86">
        <v>69.5</v>
      </c>
      <c r="W22" s="86">
        <v>70</v>
      </c>
      <c r="X22" s="86">
        <v>94</v>
      </c>
    </row>
    <row r="23" spans="1:24" ht="15" x14ac:dyDescent="0.2">
      <c r="A23" s="191">
        <v>21</v>
      </c>
      <c r="B23" s="86">
        <v>0</v>
      </c>
      <c r="C23" s="86">
        <v>12</v>
      </c>
      <c r="D23" s="86">
        <v>22</v>
      </c>
      <c r="E23" s="86">
        <v>4</v>
      </c>
      <c r="F23" s="86">
        <v>27</v>
      </c>
      <c r="G23" s="86">
        <v>12</v>
      </c>
      <c r="H23" s="86">
        <v>12</v>
      </c>
      <c r="I23" s="86">
        <v>22</v>
      </c>
      <c r="J23" s="86">
        <v>4</v>
      </c>
      <c r="K23" s="86">
        <v>12</v>
      </c>
      <c r="N23" s="191">
        <v>21</v>
      </c>
      <c r="O23" s="86">
        <v>79</v>
      </c>
      <c r="P23" s="86">
        <v>78.5</v>
      </c>
      <c r="Q23" s="86">
        <v>66.5</v>
      </c>
      <c r="R23" s="86">
        <v>86.5</v>
      </c>
      <c r="S23" s="86">
        <v>73</v>
      </c>
      <c r="T23" s="86">
        <v>82</v>
      </c>
      <c r="U23" s="86">
        <v>75.5</v>
      </c>
      <c r="V23" s="86">
        <v>76.5</v>
      </c>
      <c r="W23" s="86">
        <v>83</v>
      </c>
      <c r="X23" s="86">
        <v>62</v>
      </c>
    </row>
    <row r="24" spans="1:24" ht="15" x14ac:dyDescent="0.2">
      <c r="A24" s="191">
        <v>22</v>
      </c>
      <c r="B24" s="86">
        <v>22</v>
      </c>
      <c r="C24" s="86">
        <v>2</v>
      </c>
      <c r="D24" s="86">
        <v>14</v>
      </c>
      <c r="E24" s="86">
        <v>14</v>
      </c>
      <c r="F24" s="86">
        <v>27</v>
      </c>
      <c r="G24" s="86">
        <v>2</v>
      </c>
      <c r="H24" s="86">
        <v>2</v>
      </c>
      <c r="I24" s="86">
        <v>22</v>
      </c>
      <c r="J24" s="86">
        <v>9</v>
      </c>
      <c r="K24" s="86">
        <v>14</v>
      </c>
      <c r="N24" s="191">
        <v>22</v>
      </c>
      <c r="O24" s="86">
        <v>62.5</v>
      </c>
      <c r="P24" s="86">
        <v>72</v>
      </c>
      <c r="Q24" s="86">
        <v>89</v>
      </c>
      <c r="R24" s="86">
        <v>80</v>
      </c>
      <c r="S24" s="86">
        <v>72</v>
      </c>
      <c r="T24" s="86">
        <v>83</v>
      </c>
      <c r="U24" s="86">
        <v>71</v>
      </c>
      <c r="V24" s="86">
        <v>72.5</v>
      </c>
      <c r="W24" s="86">
        <v>61.5</v>
      </c>
      <c r="X24" s="86">
        <v>62.5</v>
      </c>
    </row>
    <row r="25" spans="1:24" ht="15" x14ac:dyDescent="0.2">
      <c r="A25" s="191">
        <v>23</v>
      </c>
      <c r="B25" s="86">
        <v>4</v>
      </c>
      <c r="C25" s="86">
        <v>4</v>
      </c>
      <c r="D25" s="86">
        <v>18</v>
      </c>
      <c r="E25" s="86">
        <v>18</v>
      </c>
      <c r="F25" s="86">
        <v>18</v>
      </c>
      <c r="G25" s="86">
        <v>4</v>
      </c>
      <c r="H25" s="86">
        <v>4</v>
      </c>
      <c r="I25" s="86">
        <v>27</v>
      </c>
      <c r="J25" s="86">
        <v>4</v>
      </c>
      <c r="K25" s="86">
        <v>18</v>
      </c>
      <c r="N25" s="191">
        <v>23</v>
      </c>
      <c r="O25" s="86">
        <v>75.5</v>
      </c>
      <c r="P25" s="86">
        <v>68</v>
      </c>
      <c r="Q25" s="86">
        <v>88.5</v>
      </c>
      <c r="R25" s="86">
        <v>71</v>
      </c>
      <c r="S25" s="86">
        <v>68.5</v>
      </c>
      <c r="T25" s="86">
        <v>76.5</v>
      </c>
      <c r="U25" s="86">
        <v>76.5</v>
      </c>
      <c r="V25" s="86">
        <v>76</v>
      </c>
      <c r="W25" s="86">
        <v>66.5</v>
      </c>
      <c r="X25" s="86">
        <v>70.5</v>
      </c>
    </row>
    <row r="26" spans="1:24" ht="15" x14ac:dyDescent="0.2">
      <c r="A26" s="191">
        <v>24</v>
      </c>
      <c r="B26" s="86">
        <v>6</v>
      </c>
      <c r="C26" s="86">
        <v>24</v>
      </c>
      <c r="D26" s="86">
        <v>0</v>
      </c>
      <c r="E26" s="86">
        <v>17</v>
      </c>
      <c r="F26" s="86">
        <v>27</v>
      </c>
      <c r="G26" s="86">
        <v>17</v>
      </c>
      <c r="H26" s="86">
        <v>17</v>
      </c>
      <c r="I26" s="86">
        <v>6</v>
      </c>
      <c r="J26" s="86">
        <v>6</v>
      </c>
      <c r="K26" s="86">
        <v>6</v>
      </c>
      <c r="N26" s="191">
        <v>24</v>
      </c>
      <c r="O26" s="86">
        <v>64</v>
      </c>
      <c r="P26" s="86">
        <v>76</v>
      </c>
      <c r="Q26" s="86">
        <v>69.5</v>
      </c>
      <c r="R26" s="86">
        <v>73.5</v>
      </c>
      <c r="S26" s="86">
        <v>69.5</v>
      </c>
      <c r="T26" s="86">
        <v>80</v>
      </c>
      <c r="U26" s="86">
        <v>70.5</v>
      </c>
      <c r="V26" s="86">
        <v>76.5</v>
      </c>
      <c r="W26" s="86">
        <v>87</v>
      </c>
      <c r="X26" s="86">
        <v>74</v>
      </c>
    </row>
    <row r="27" spans="1:24" ht="15" x14ac:dyDescent="0.2">
      <c r="A27" s="191">
        <v>25</v>
      </c>
      <c r="B27" s="86">
        <v>18</v>
      </c>
      <c r="C27" s="86">
        <v>18</v>
      </c>
      <c r="D27" s="86">
        <v>18</v>
      </c>
      <c r="E27" s="86">
        <v>0</v>
      </c>
      <c r="F27" s="86">
        <v>4</v>
      </c>
      <c r="G27" s="86">
        <v>10</v>
      </c>
      <c r="H27" s="86">
        <v>10</v>
      </c>
      <c r="I27" s="86">
        <v>27</v>
      </c>
      <c r="J27" s="86">
        <v>18</v>
      </c>
      <c r="K27" s="86">
        <v>4</v>
      </c>
      <c r="N27" s="191">
        <v>25</v>
      </c>
      <c r="O27" s="86">
        <v>77</v>
      </c>
      <c r="P27" s="86">
        <v>72</v>
      </c>
      <c r="Q27" s="86">
        <v>67</v>
      </c>
      <c r="R27" s="86">
        <v>72.5</v>
      </c>
      <c r="S27" s="86">
        <v>79.5</v>
      </c>
      <c r="T27" s="86">
        <v>64.5</v>
      </c>
      <c r="U27" s="86">
        <v>78</v>
      </c>
      <c r="V27" s="86">
        <v>80.5</v>
      </c>
      <c r="W27" s="86">
        <v>84</v>
      </c>
      <c r="X27" s="86">
        <v>83</v>
      </c>
    </row>
    <row r="28" spans="1:24" ht="15" x14ac:dyDescent="0.2">
      <c r="A28" s="191">
        <v>26</v>
      </c>
      <c r="B28" s="86">
        <v>7</v>
      </c>
      <c r="C28" s="86">
        <v>1</v>
      </c>
      <c r="D28" s="86">
        <v>7</v>
      </c>
      <c r="E28" s="86">
        <v>27</v>
      </c>
      <c r="F28" s="86">
        <v>15</v>
      </c>
      <c r="G28" s="86">
        <v>15</v>
      </c>
      <c r="H28" s="86">
        <v>15</v>
      </c>
      <c r="I28" s="86">
        <v>1</v>
      </c>
      <c r="J28" s="86">
        <v>24</v>
      </c>
      <c r="K28" s="86">
        <v>15</v>
      </c>
      <c r="N28" s="191">
        <v>26</v>
      </c>
      <c r="O28" s="86">
        <v>79.5</v>
      </c>
      <c r="P28" s="86">
        <v>88</v>
      </c>
      <c r="Q28" s="86">
        <v>74</v>
      </c>
      <c r="R28" s="86">
        <v>60.5</v>
      </c>
      <c r="S28" s="86">
        <v>67</v>
      </c>
      <c r="T28" s="86">
        <v>69</v>
      </c>
      <c r="U28" s="86">
        <v>74.5</v>
      </c>
      <c r="V28" s="86">
        <v>74.5</v>
      </c>
      <c r="W28" s="86">
        <v>72</v>
      </c>
      <c r="X28" s="86">
        <v>73</v>
      </c>
    </row>
    <row r="29" spans="1:24" ht="15" x14ac:dyDescent="0.2">
      <c r="A29" s="191">
        <v>27</v>
      </c>
      <c r="B29" s="86">
        <v>10</v>
      </c>
      <c r="C29" s="86">
        <v>23</v>
      </c>
      <c r="D29" s="86">
        <v>16</v>
      </c>
      <c r="E29" s="86">
        <v>2</v>
      </c>
      <c r="F29" s="86">
        <v>2</v>
      </c>
      <c r="G29" s="86">
        <v>23</v>
      </c>
      <c r="H29" s="86">
        <v>23</v>
      </c>
      <c r="I29" s="86">
        <v>10</v>
      </c>
      <c r="J29" s="86">
        <v>2</v>
      </c>
      <c r="K29" s="86">
        <v>16</v>
      </c>
      <c r="N29" s="191">
        <v>27</v>
      </c>
      <c r="O29" s="86">
        <v>67.5</v>
      </c>
      <c r="P29" s="86">
        <v>71</v>
      </c>
      <c r="Q29" s="86">
        <v>61.5</v>
      </c>
      <c r="R29" s="86">
        <v>74.5</v>
      </c>
      <c r="S29" s="86">
        <v>70</v>
      </c>
      <c r="T29" s="86">
        <v>83.5</v>
      </c>
      <c r="U29" s="86">
        <v>80</v>
      </c>
      <c r="V29" s="86">
        <v>82</v>
      </c>
      <c r="W29" s="86">
        <v>76</v>
      </c>
      <c r="X29" s="86">
        <v>67.5</v>
      </c>
    </row>
    <row r="30" spans="1:24" ht="15" x14ac:dyDescent="0.2">
      <c r="A30" s="191">
        <v>28</v>
      </c>
      <c r="B30" s="86">
        <v>4</v>
      </c>
      <c r="C30" s="86">
        <v>27</v>
      </c>
      <c r="D30" s="86">
        <v>4</v>
      </c>
      <c r="E30" s="86">
        <v>4</v>
      </c>
      <c r="F30" s="86">
        <v>22</v>
      </c>
      <c r="G30" s="86">
        <v>4</v>
      </c>
      <c r="H30" s="86">
        <v>16</v>
      </c>
      <c r="I30" s="86">
        <v>22</v>
      </c>
      <c r="J30" s="86">
        <v>16</v>
      </c>
      <c r="K30" s="86">
        <v>4</v>
      </c>
      <c r="N30" s="191">
        <v>28</v>
      </c>
      <c r="O30" s="86">
        <v>81</v>
      </c>
      <c r="P30" s="86">
        <v>68</v>
      </c>
      <c r="Q30" s="86">
        <v>86.5</v>
      </c>
      <c r="R30" s="86">
        <v>79.5</v>
      </c>
      <c r="S30" s="86">
        <v>70</v>
      </c>
      <c r="T30" s="86">
        <v>77</v>
      </c>
      <c r="U30" s="86">
        <v>71</v>
      </c>
      <c r="V30" s="86">
        <v>71.5</v>
      </c>
      <c r="W30" s="86">
        <v>69</v>
      </c>
      <c r="X30" s="86">
        <v>80.5</v>
      </c>
    </row>
    <row r="31" spans="1:24" ht="15" x14ac:dyDescent="0.2">
      <c r="A31" s="191">
        <v>29</v>
      </c>
      <c r="B31" s="86">
        <v>4</v>
      </c>
      <c r="C31" s="86">
        <v>21</v>
      </c>
      <c r="D31" s="86">
        <v>12</v>
      </c>
      <c r="E31" s="86">
        <v>12</v>
      </c>
      <c r="F31" s="86">
        <v>25</v>
      </c>
      <c r="G31" s="86">
        <v>4</v>
      </c>
      <c r="H31" s="86">
        <v>12</v>
      </c>
      <c r="I31" s="86">
        <v>12</v>
      </c>
      <c r="J31" s="86">
        <v>0</v>
      </c>
      <c r="K31" s="86">
        <v>25</v>
      </c>
      <c r="N31" s="191">
        <v>29</v>
      </c>
      <c r="O31" s="86">
        <v>81.5</v>
      </c>
      <c r="P31" s="86">
        <v>73</v>
      </c>
      <c r="Q31" s="86">
        <v>74.5</v>
      </c>
      <c r="R31" s="86">
        <v>61</v>
      </c>
      <c r="S31" s="86">
        <v>68</v>
      </c>
      <c r="T31" s="86">
        <v>88.5</v>
      </c>
      <c r="U31" s="86">
        <v>76.5</v>
      </c>
      <c r="V31" s="86">
        <v>87</v>
      </c>
      <c r="W31" s="86">
        <v>78.5</v>
      </c>
      <c r="X31" s="86">
        <v>75.5</v>
      </c>
    </row>
    <row r="32" spans="1:24" ht="15" x14ac:dyDescent="0.2">
      <c r="A32" s="191">
        <v>30</v>
      </c>
      <c r="B32" s="86">
        <v>1</v>
      </c>
      <c r="C32" s="86">
        <v>15</v>
      </c>
      <c r="D32" s="86">
        <v>15</v>
      </c>
      <c r="E32" s="86">
        <v>24</v>
      </c>
      <c r="F32" s="86">
        <v>7</v>
      </c>
      <c r="G32" s="86">
        <v>15</v>
      </c>
      <c r="H32" s="86">
        <v>7</v>
      </c>
      <c r="I32" s="86">
        <v>27</v>
      </c>
      <c r="J32" s="86">
        <v>1</v>
      </c>
      <c r="K32" s="86">
        <v>15</v>
      </c>
      <c r="N32" s="191">
        <v>30</v>
      </c>
      <c r="O32" s="86">
        <v>72.5</v>
      </c>
      <c r="P32" s="86">
        <v>66</v>
      </c>
      <c r="Q32" s="86">
        <v>67.5</v>
      </c>
      <c r="R32" s="86">
        <v>72.5</v>
      </c>
      <c r="S32" s="86">
        <v>79.5</v>
      </c>
      <c r="T32" s="86">
        <v>88</v>
      </c>
      <c r="U32" s="86">
        <v>74.5</v>
      </c>
      <c r="V32" s="86">
        <v>75</v>
      </c>
      <c r="W32" s="86">
        <v>74</v>
      </c>
      <c r="X32" s="86">
        <v>67.5</v>
      </c>
    </row>
    <row r="33" spans="1:24" ht="15" x14ac:dyDescent="0.2">
      <c r="A33" s="191">
        <v>31</v>
      </c>
      <c r="B33" s="86">
        <v>1</v>
      </c>
      <c r="C33" s="86">
        <v>20</v>
      </c>
      <c r="D33" s="86">
        <v>20</v>
      </c>
      <c r="E33" s="86">
        <v>13</v>
      </c>
      <c r="F33" s="86">
        <v>27</v>
      </c>
      <c r="G33" s="86">
        <v>13</v>
      </c>
      <c r="H33" s="86">
        <v>7</v>
      </c>
      <c r="I33" s="86">
        <v>20</v>
      </c>
      <c r="J33" s="86">
        <v>7</v>
      </c>
      <c r="K33" s="86">
        <v>1</v>
      </c>
      <c r="N33" s="191">
        <v>31</v>
      </c>
      <c r="O33" s="86">
        <v>77</v>
      </c>
      <c r="P33" s="86">
        <v>67.5</v>
      </c>
      <c r="Q33" s="86">
        <v>84</v>
      </c>
      <c r="R33" s="86">
        <v>81</v>
      </c>
      <c r="S33" s="86">
        <v>84</v>
      </c>
      <c r="T33" s="86">
        <v>61.5</v>
      </c>
      <c r="U33" s="86">
        <v>69</v>
      </c>
      <c r="V33" s="86">
        <v>74</v>
      </c>
      <c r="W33" s="86">
        <v>72</v>
      </c>
      <c r="X33" s="86">
        <v>78</v>
      </c>
    </row>
    <row r="34" spans="1:24" ht="15" x14ac:dyDescent="0.2">
      <c r="A34" s="191">
        <v>32</v>
      </c>
      <c r="B34" s="86">
        <v>9</v>
      </c>
      <c r="C34" s="86">
        <v>9</v>
      </c>
      <c r="D34" s="86">
        <v>19</v>
      </c>
      <c r="E34" s="86">
        <v>1</v>
      </c>
      <c r="F34" s="86">
        <v>24</v>
      </c>
      <c r="G34" s="86">
        <v>1</v>
      </c>
      <c r="H34" s="86">
        <v>27</v>
      </c>
      <c r="I34" s="86">
        <v>9</v>
      </c>
      <c r="J34" s="86">
        <v>9</v>
      </c>
      <c r="K34" s="86">
        <v>19</v>
      </c>
      <c r="N34" s="191">
        <v>32</v>
      </c>
      <c r="O34" s="86">
        <v>65</v>
      </c>
      <c r="P34" s="86">
        <v>66</v>
      </c>
      <c r="Q34" s="86">
        <v>73</v>
      </c>
      <c r="R34" s="86">
        <v>70</v>
      </c>
      <c r="S34" s="86">
        <v>85</v>
      </c>
      <c r="T34" s="86">
        <v>76</v>
      </c>
      <c r="U34" s="86">
        <v>83.5</v>
      </c>
      <c r="V34" s="86">
        <v>76.5</v>
      </c>
      <c r="W34" s="86">
        <v>73</v>
      </c>
      <c r="X34" s="86">
        <v>65.5</v>
      </c>
    </row>
    <row r="35" spans="1:24" ht="15" x14ac:dyDescent="0.2">
      <c r="A35" s="191">
        <v>33</v>
      </c>
      <c r="B35" s="86">
        <v>5</v>
      </c>
      <c r="C35" s="86">
        <v>14</v>
      </c>
      <c r="D35" s="86">
        <v>14</v>
      </c>
      <c r="E35" s="86">
        <v>5</v>
      </c>
      <c r="F35" s="86">
        <v>23</v>
      </c>
      <c r="G35" s="86">
        <v>5</v>
      </c>
      <c r="H35" s="86">
        <v>23</v>
      </c>
      <c r="I35" s="86">
        <v>23</v>
      </c>
      <c r="J35" s="86">
        <v>0</v>
      </c>
      <c r="K35" s="86">
        <v>14</v>
      </c>
      <c r="N35" s="191">
        <v>33</v>
      </c>
      <c r="O35" s="86">
        <v>76.5</v>
      </c>
      <c r="P35" s="86">
        <v>71</v>
      </c>
      <c r="Q35" s="86">
        <v>69</v>
      </c>
      <c r="R35" s="86">
        <v>74</v>
      </c>
      <c r="S35" s="86">
        <v>61</v>
      </c>
      <c r="T35" s="86">
        <v>76</v>
      </c>
      <c r="U35" s="86">
        <v>78.5</v>
      </c>
      <c r="V35" s="86">
        <v>81</v>
      </c>
      <c r="W35" s="86">
        <v>80</v>
      </c>
      <c r="X35" s="86">
        <v>73.5</v>
      </c>
    </row>
    <row r="36" spans="1:24" ht="15" x14ac:dyDescent="0.2">
      <c r="A36" s="191">
        <v>34</v>
      </c>
      <c r="B36" s="86">
        <v>11</v>
      </c>
      <c r="C36" s="86">
        <v>25</v>
      </c>
      <c r="D36" s="86">
        <v>25</v>
      </c>
      <c r="E36" s="86">
        <v>2</v>
      </c>
      <c r="F36" s="86">
        <v>11</v>
      </c>
      <c r="G36" s="86">
        <v>11</v>
      </c>
      <c r="H36" s="86">
        <v>2</v>
      </c>
      <c r="I36" s="86">
        <v>2</v>
      </c>
      <c r="J36" s="86">
        <v>19</v>
      </c>
      <c r="K36" s="86">
        <v>19</v>
      </c>
      <c r="N36" s="191">
        <v>34</v>
      </c>
      <c r="O36" s="86">
        <v>61.5</v>
      </c>
      <c r="P36" s="86">
        <v>68</v>
      </c>
      <c r="Q36" s="86">
        <v>79</v>
      </c>
      <c r="R36" s="86">
        <v>73</v>
      </c>
      <c r="S36" s="86">
        <v>83</v>
      </c>
      <c r="T36" s="86">
        <v>57</v>
      </c>
      <c r="U36" s="86">
        <v>68.5</v>
      </c>
      <c r="V36" s="86">
        <v>74</v>
      </c>
      <c r="W36" s="86">
        <v>65.5</v>
      </c>
      <c r="X36" s="86">
        <v>78.5</v>
      </c>
    </row>
    <row r="37" spans="1:24" ht="15" x14ac:dyDescent="0.2">
      <c r="A37" s="191">
        <v>35</v>
      </c>
      <c r="B37" s="86">
        <v>23</v>
      </c>
      <c r="C37" s="86">
        <v>10</v>
      </c>
      <c r="D37" s="86">
        <v>2</v>
      </c>
      <c r="E37" s="86">
        <v>2</v>
      </c>
      <c r="F37" s="86">
        <v>23</v>
      </c>
      <c r="G37" s="86">
        <v>2</v>
      </c>
      <c r="H37" s="86">
        <v>10</v>
      </c>
      <c r="I37" s="86">
        <v>23</v>
      </c>
      <c r="J37" s="86">
        <v>16</v>
      </c>
      <c r="K37" s="86">
        <v>16</v>
      </c>
      <c r="N37" s="191">
        <v>35</v>
      </c>
      <c r="O37" s="86">
        <v>76</v>
      </c>
      <c r="P37" s="86">
        <v>53.5</v>
      </c>
      <c r="Q37" s="86">
        <v>65.5</v>
      </c>
      <c r="R37" s="86">
        <v>71</v>
      </c>
      <c r="S37" s="86">
        <v>78</v>
      </c>
      <c r="T37" s="86">
        <v>61.5</v>
      </c>
      <c r="U37" s="86">
        <v>74</v>
      </c>
      <c r="V37" s="86">
        <v>83.5</v>
      </c>
      <c r="W37" s="86">
        <v>80</v>
      </c>
      <c r="X37" s="86">
        <v>72.5</v>
      </c>
    </row>
    <row r="38" spans="1:24" ht="15" x14ac:dyDescent="0.2">
      <c r="A38" s="191">
        <v>36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N38" s="191">
        <v>36</v>
      </c>
      <c r="O38" s="86"/>
      <c r="P38" s="86"/>
      <c r="Q38" s="86"/>
      <c r="R38" s="86"/>
      <c r="S38" s="86"/>
      <c r="T38" s="86"/>
      <c r="U38" s="86"/>
      <c r="V38" s="86"/>
      <c r="W38" s="86"/>
      <c r="X38" s="86"/>
    </row>
    <row r="39" spans="1:24" ht="15" x14ac:dyDescent="0.2">
      <c r="A39" s="171" t="s">
        <v>275</v>
      </c>
      <c r="B39" s="238">
        <f>AVERAGE(B3:B38)</f>
        <v>10.171428571428571</v>
      </c>
      <c r="C39" s="238">
        <f t="shared" ref="C39:K39" si="0">AVERAGE(C3:C38)</f>
        <v>14.057142857142857</v>
      </c>
      <c r="D39" s="238">
        <f t="shared" si="0"/>
        <v>14.628571428571428</v>
      </c>
      <c r="E39" s="238">
        <f t="shared" si="0"/>
        <v>10.742857142857142</v>
      </c>
      <c r="F39" s="238">
        <f t="shared" si="0"/>
        <v>15.771428571428572</v>
      </c>
      <c r="G39" s="238">
        <f t="shared" si="0"/>
        <v>9.8000000000000007</v>
      </c>
      <c r="H39" s="238">
        <f t="shared" si="0"/>
        <v>12.828571428571429</v>
      </c>
      <c r="I39" s="238">
        <f t="shared" si="0"/>
        <v>11.685714285714285</v>
      </c>
      <c r="J39" s="238">
        <f t="shared" si="0"/>
        <v>11.885714285714286</v>
      </c>
      <c r="K39" s="238">
        <f t="shared" si="0"/>
        <v>12.6</v>
      </c>
      <c r="N39" s="171" t="s">
        <v>275</v>
      </c>
      <c r="O39" s="237">
        <f>AVERAGE(O3:O38)</f>
        <v>72.51428571428572</v>
      </c>
      <c r="P39" s="237">
        <f t="shared" ref="P39:X39" si="1">AVERAGE(P3:P38)</f>
        <v>72.071428571428569</v>
      </c>
      <c r="Q39" s="237">
        <f t="shared" si="1"/>
        <v>72.385714285714286</v>
      </c>
      <c r="R39" s="237">
        <f t="shared" si="1"/>
        <v>73.157142857142858</v>
      </c>
      <c r="S39" s="237">
        <f t="shared" si="1"/>
        <v>74.599999999999994</v>
      </c>
      <c r="T39" s="237">
        <f t="shared" si="1"/>
        <v>74.771428571428572</v>
      </c>
      <c r="U39" s="237">
        <f t="shared" si="1"/>
        <v>74.285714285714292</v>
      </c>
      <c r="V39" s="237">
        <f t="shared" si="1"/>
        <v>76.157142857142858</v>
      </c>
      <c r="W39" s="237">
        <f t="shared" si="1"/>
        <v>74.057142857142864</v>
      </c>
      <c r="X39" s="237">
        <f t="shared" si="1"/>
        <v>72.557142857142864</v>
      </c>
    </row>
    <row r="42" spans="1:24" ht="15" x14ac:dyDescent="0.2">
      <c r="F42" s="171" t="s">
        <v>322</v>
      </c>
      <c r="G42" s="222" t="s">
        <v>283</v>
      </c>
      <c r="S42" s="224" t="s">
        <v>322</v>
      </c>
      <c r="T42" s="225" t="s">
        <v>283</v>
      </c>
      <c r="U42" s="220"/>
      <c r="V42" s="220"/>
      <c r="W42" s="220"/>
      <c r="X42" s="220"/>
    </row>
    <row r="43" spans="1:24" x14ac:dyDescent="0.2">
      <c r="F43" s="221" t="s">
        <v>379</v>
      </c>
      <c r="G43" s="223">
        <v>552</v>
      </c>
      <c r="S43" s="221" t="s">
        <v>382</v>
      </c>
      <c r="T43" s="223">
        <v>2665.5</v>
      </c>
    </row>
    <row r="44" spans="1:24" x14ac:dyDescent="0.2">
      <c r="F44" s="221" t="s">
        <v>377</v>
      </c>
      <c r="G44" s="223">
        <v>512</v>
      </c>
      <c r="S44" s="221" t="s">
        <v>380</v>
      </c>
      <c r="T44" s="223">
        <v>2617</v>
      </c>
    </row>
    <row r="45" spans="1:24" x14ac:dyDescent="0.2">
      <c r="F45" s="221" t="s">
        <v>376</v>
      </c>
      <c r="G45" s="223">
        <v>492</v>
      </c>
      <c r="S45" s="221" t="s">
        <v>379</v>
      </c>
      <c r="T45" s="223">
        <v>2611</v>
      </c>
    </row>
    <row r="46" spans="1:24" x14ac:dyDescent="0.2">
      <c r="F46" s="221" t="s">
        <v>381</v>
      </c>
      <c r="G46" s="223">
        <v>449</v>
      </c>
      <c r="S46" s="221" t="s">
        <v>381</v>
      </c>
      <c r="T46" s="223">
        <v>2600</v>
      </c>
    </row>
    <row r="47" spans="1:24" x14ac:dyDescent="0.2">
      <c r="F47" s="221" t="s">
        <v>384</v>
      </c>
      <c r="G47" s="223">
        <v>441</v>
      </c>
      <c r="S47" s="221" t="s">
        <v>383</v>
      </c>
      <c r="T47" s="223">
        <v>2592</v>
      </c>
    </row>
    <row r="48" spans="1:24" x14ac:dyDescent="0.2">
      <c r="F48" s="221" t="s">
        <v>383</v>
      </c>
      <c r="G48" s="223">
        <v>416</v>
      </c>
      <c r="S48" s="221" t="s">
        <v>378</v>
      </c>
      <c r="T48" s="223">
        <v>2560.5</v>
      </c>
    </row>
    <row r="49" spans="6:20" x14ac:dyDescent="0.2">
      <c r="F49" s="221" t="s">
        <v>382</v>
      </c>
      <c r="G49" s="223">
        <v>409</v>
      </c>
      <c r="S49" s="221" t="s">
        <v>384</v>
      </c>
      <c r="T49" s="223">
        <v>2539.5</v>
      </c>
    </row>
    <row r="50" spans="6:20" x14ac:dyDescent="0.2">
      <c r="F50" s="221" t="s">
        <v>378</v>
      </c>
      <c r="G50" s="223">
        <v>376</v>
      </c>
      <c r="S50" s="221" t="s">
        <v>375</v>
      </c>
      <c r="T50" s="223">
        <v>2538</v>
      </c>
    </row>
    <row r="51" spans="6:20" x14ac:dyDescent="0.2">
      <c r="F51" s="221" t="s">
        <v>375</v>
      </c>
      <c r="G51" s="223">
        <v>356</v>
      </c>
      <c r="S51" s="221" t="s">
        <v>377</v>
      </c>
      <c r="T51" s="223">
        <v>2533.5</v>
      </c>
    </row>
    <row r="52" spans="6:20" x14ac:dyDescent="0.2">
      <c r="F52" s="221" t="s">
        <v>380</v>
      </c>
      <c r="G52" s="223">
        <v>343</v>
      </c>
      <c r="S52" s="221" t="s">
        <v>376</v>
      </c>
      <c r="T52" s="223">
        <v>2522.5</v>
      </c>
    </row>
  </sheetData>
  <sortState ref="S43:T52">
    <sortCondition descending="1" ref="T43"/>
  </sortState>
  <mergeCells count="2">
    <mergeCell ref="A1:K1"/>
    <mergeCell ref="N1:X1"/>
  </mergeCells>
  <pageMargins left="0.7" right="0.7" top="0.75" bottom="0.75" header="0.3" footer="0.3"/>
  <pageSetup paperSize="9"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79"/>
  <sheetViews>
    <sheetView zoomScale="90" zoomScaleNormal="90" workbookViewId="0">
      <selection activeCell="G25" sqref="G25"/>
    </sheetView>
  </sheetViews>
  <sheetFormatPr defaultRowHeight="14.25" x14ac:dyDescent="0.2"/>
  <cols>
    <col min="1" max="1" width="23.25" bestFit="1" customWidth="1"/>
    <col min="2" max="2" width="7" bestFit="1" customWidth="1"/>
    <col min="3" max="3" width="11.875" bestFit="1" customWidth="1"/>
    <col min="4" max="4" width="11.375" bestFit="1" customWidth="1"/>
    <col min="5" max="5" width="7" bestFit="1" customWidth="1"/>
    <col min="6" max="6" width="11.875" bestFit="1" customWidth="1"/>
    <col min="7" max="7" width="11.375" bestFit="1" customWidth="1"/>
    <col min="8" max="8" width="7" bestFit="1" customWidth="1"/>
    <col min="9" max="9" width="11.875" bestFit="1" customWidth="1"/>
    <col min="10" max="10" width="11.375" bestFit="1" customWidth="1"/>
    <col min="11" max="11" width="7" bestFit="1" customWidth="1"/>
    <col min="12" max="12" width="11.875" bestFit="1" customWidth="1"/>
    <col min="13" max="13" width="11.375" bestFit="1" customWidth="1"/>
    <col min="14" max="14" width="7" bestFit="1" customWidth="1"/>
    <col min="15" max="15" width="11.875" bestFit="1" customWidth="1"/>
    <col min="16" max="16" width="11.375" bestFit="1" customWidth="1"/>
    <col min="17" max="17" width="7" bestFit="1" customWidth="1"/>
    <col min="18" max="18" width="11.875" bestFit="1" customWidth="1"/>
    <col min="19" max="19" width="11.375" bestFit="1" customWidth="1"/>
    <col min="20" max="20" width="7" bestFit="1" customWidth="1"/>
    <col min="21" max="21" width="11.875" bestFit="1" customWidth="1"/>
    <col min="22" max="22" width="11.375" bestFit="1" customWidth="1"/>
    <col min="23" max="23" width="7" bestFit="1" customWidth="1"/>
    <col min="24" max="24" width="11.875" bestFit="1" customWidth="1"/>
    <col min="25" max="25" width="11.375" bestFit="1" customWidth="1"/>
    <col min="26" max="26" width="7" bestFit="1" customWidth="1"/>
    <col min="27" max="27" width="11.875" bestFit="1" customWidth="1"/>
    <col min="28" max="28" width="11.375" bestFit="1" customWidth="1"/>
    <col min="29" max="29" width="7" bestFit="1" customWidth="1"/>
    <col min="30" max="30" width="11.875" bestFit="1" customWidth="1"/>
    <col min="31" max="31" width="11.375" bestFit="1" customWidth="1"/>
  </cols>
  <sheetData>
    <row r="1" spans="1:34" ht="15" x14ac:dyDescent="0.25">
      <c r="A1" s="180"/>
      <c r="B1" s="497" t="s">
        <v>314</v>
      </c>
      <c r="C1" s="498"/>
      <c r="D1" s="499"/>
      <c r="E1" s="498" t="s">
        <v>284</v>
      </c>
      <c r="F1" s="498"/>
      <c r="G1" s="499"/>
      <c r="H1" s="498" t="s">
        <v>348</v>
      </c>
      <c r="I1" s="498"/>
      <c r="J1" s="499"/>
      <c r="K1" s="498" t="s">
        <v>285</v>
      </c>
      <c r="L1" s="498"/>
      <c r="M1" s="499"/>
      <c r="N1" s="498" t="s">
        <v>286</v>
      </c>
      <c r="O1" s="498"/>
      <c r="P1" s="499"/>
      <c r="Q1" s="498" t="s">
        <v>287</v>
      </c>
      <c r="R1" s="498"/>
      <c r="S1" s="499"/>
      <c r="T1" s="498" t="s">
        <v>315</v>
      </c>
      <c r="U1" s="498"/>
      <c r="V1" s="499"/>
      <c r="W1" s="498" t="s">
        <v>288</v>
      </c>
      <c r="X1" s="498"/>
      <c r="Y1" s="499"/>
      <c r="Z1" s="498" t="s">
        <v>289</v>
      </c>
      <c r="AA1" s="498"/>
      <c r="AB1" s="499"/>
      <c r="AC1" s="498" t="s">
        <v>290</v>
      </c>
      <c r="AD1" s="498"/>
      <c r="AE1" s="501"/>
    </row>
    <row r="2" spans="1:34" ht="15" x14ac:dyDescent="0.2">
      <c r="A2" s="180"/>
      <c r="B2" s="293" t="s">
        <v>435</v>
      </c>
      <c r="C2" s="311" t="s">
        <v>449</v>
      </c>
      <c r="D2" s="298" t="s">
        <v>436</v>
      </c>
      <c r="E2" s="296" t="s">
        <v>435</v>
      </c>
      <c r="F2" s="311" t="s">
        <v>449</v>
      </c>
      <c r="G2" s="298" t="s">
        <v>436</v>
      </c>
      <c r="H2" s="296" t="s">
        <v>435</v>
      </c>
      <c r="I2" s="311" t="s">
        <v>449</v>
      </c>
      <c r="J2" s="298" t="s">
        <v>436</v>
      </c>
      <c r="K2" s="296" t="s">
        <v>435</v>
      </c>
      <c r="L2" s="311" t="s">
        <v>449</v>
      </c>
      <c r="M2" s="298" t="s">
        <v>436</v>
      </c>
      <c r="N2" s="296" t="s">
        <v>435</v>
      </c>
      <c r="O2" s="311" t="s">
        <v>449</v>
      </c>
      <c r="P2" s="298" t="s">
        <v>436</v>
      </c>
      <c r="Q2" s="296" t="s">
        <v>435</v>
      </c>
      <c r="R2" s="311" t="s">
        <v>449</v>
      </c>
      <c r="S2" s="298" t="s">
        <v>436</v>
      </c>
      <c r="T2" s="296" t="s">
        <v>435</v>
      </c>
      <c r="U2" s="311" t="s">
        <v>449</v>
      </c>
      <c r="V2" s="298" t="s">
        <v>436</v>
      </c>
      <c r="W2" s="296" t="s">
        <v>435</v>
      </c>
      <c r="X2" s="311" t="s">
        <v>449</v>
      </c>
      <c r="Y2" s="298" t="s">
        <v>436</v>
      </c>
      <c r="Z2" s="296" t="s">
        <v>435</v>
      </c>
      <c r="AA2" s="311" t="s">
        <v>449</v>
      </c>
      <c r="AB2" s="298" t="s">
        <v>436</v>
      </c>
      <c r="AC2" s="296" t="s">
        <v>435</v>
      </c>
      <c r="AD2" s="311" t="s">
        <v>449</v>
      </c>
      <c r="AE2" s="294" t="s">
        <v>436</v>
      </c>
    </row>
    <row r="3" spans="1:34" x14ac:dyDescent="0.2">
      <c r="A3" s="210">
        <v>0</v>
      </c>
      <c r="B3" s="180">
        <v>287</v>
      </c>
      <c r="C3" s="313">
        <f>B3/$B$42</f>
        <v>9.258064516129032</v>
      </c>
      <c r="D3" s="299">
        <f t="shared" ref="D3:D4" si="0">((B3-$B$3)/$B$3)</f>
        <v>0</v>
      </c>
      <c r="E3" s="297">
        <v>251</v>
      </c>
      <c r="F3" s="314">
        <f>E3/$E$42</f>
        <v>8.0967741935483879</v>
      </c>
      <c r="G3" s="299">
        <f>((E3-$E$3)/$E$3)</f>
        <v>0</v>
      </c>
      <c r="H3" s="297">
        <v>338</v>
      </c>
      <c r="I3" s="314">
        <f>H3/$H$42</f>
        <v>6.1454545454545455</v>
      </c>
      <c r="J3" s="299">
        <f>((H3-$H$3)/$H$3)</f>
        <v>0</v>
      </c>
      <c r="K3" s="297">
        <v>299</v>
      </c>
      <c r="L3" s="312">
        <f>K3/$K$42</f>
        <v>11.5</v>
      </c>
      <c r="M3" s="299">
        <f>((K3-$K$3)/$K$3)</f>
        <v>0</v>
      </c>
      <c r="N3" s="297">
        <v>228</v>
      </c>
      <c r="O3" s="314">
        <f>N3/$N$42</f>
        <v>7.8620689655172411</v>
      </c>
      <c r="P3" s="299">
        <f>((N3-$N$3)/$N$3)</f>
        <v>0</v>
      </c>
      <c r="Q3" s="297">
        <v>283</v>
      </c>
      <c r="R3" s="314">
        <f>Q3/$Q$42</f>
        <v>9.4333333333333336</v>
      </c>
      <c r="S3" s="299">
        <f>((Q3-$Q$3)/$Q$3)</f>
        <v>0</v>
      </c>
      <c r="T3" s="297">
        <v>308</v>
      </c>
      <c r="U3" s="314">
        <f>T3/$T$42</f>
        <v>9.625</v>
      </c>
      <c r="V3" s="299">
        <f>((T3-$T$3)/$T$3)</f>
        <v>0</v>
      </c>
      <c r="W3" s="297">
        <v>343</v>
      </c>
      <c r="X3" s="314">
        <f>W3/$W$42</f>
        <v>13.192307692307692</v>
      </c>
      <c r="Y3" s="299">
        <f>((W3-$W$3)/$W$3)</f>
        <v>0</v>
      </c>
      <c r="Z3" s="297">
        <v>278</v>
      </c>
      <c r="AA3" s="314">
        <f>Z3/$Z$42</f>
        <v>8.1764705882352935</v>
      </c>
      <c r="AB3" s="299">
        <f>((Z3-$Z$3)/$Z$3)</f>
        <v>0</v>
      </c>
      <c r="AC3" s="297">
        <v>339</v>
      </c>
      <c r="AD3" s="315">
        <f>AC3/$AC$42</f>
        <v>10.935483870967742</v>
      </c>
      <c r="AE3" s="295">
        <f>((AC3-$AC$3)/$AC$3)</f>
        <v>0</v>
      </c>
      <c r="AF3" s="292"/>
    </row>
    <row r="4" spans="1:34" x14ac:dyDescent="0.2">
      <c r="A4" s="210">
        <v>1</v>
      </c>
      <c r="B4" s="180">
        <v>290</v>
      </c>
      <c r="C4" s="313">
        <f t="shared" ref="C4" si="1">B4/$B$42</f>
        <v>9.3548387096774199</v>
      </c>
      <c r="D4" s="299">
        <f t="shared" si="0"/>
        <v>1.0452961672473868E-2</v>
      </c>
      <c r="E4" s="297">
        <v>255</v>
      </c>
      <c r="F4" s="314">
        <f t="shared" ref="F4" si="2">E4/$E$42</f>
        <v>8.2258064516129039</v>
      </c>
      <c r="G4" s="299">
        <f t="shared" ref="G4" si="3">((E4-$E$3)/$E$3)</f>
        <v>1.5936254980079681E-2</v>
      </c>
      <c r="H4" s="297">
        <v>333</v>
      </c>
      <c r="I4" s="314">
        <f t="shared" ref="I4" si="4">H4/$H$42</f>
        <v>6.0545454545454547</v>
      </c>
      <c r="J4" s="299">
        <f t="shared" ref="J4" si="5">((H4-$H$3)/$H$3)</f>
        <v>-1.4792899408284023E-2</v>
      </c>
      <c r="K4" s="297">
        <v>300</v>
      </c>
      <c r="L4" s="314">
        <f t="shared" ref="L4" si="6">K4/$K$42</f>
        <v>11.538461538461538</v>
      </c>
      <c r="M4" s="299">
        <f t="shared" ref="M4" si="7">((K4-$K$3)/$K$3)</f>
        <v>3.3444816053511705E-3</v>
      </c>
      <c r="N4" s="297">
        <v>228</v>
      </c>
      <c r="O4" s="314">
        <f t="shared" ref="O4" si="8">N4/$N$42</f>
        <v>7.8620689655172411</v>
      </c>
      <c r="P4" s="299">
        <f t="shared" ref="P4" si="9">((N4-$N$3)/$N$3)</f>
        <v>0</v>
      </c>
      <c r="Q4" s="297">
        <v>284</v>
      </c>
      <c r="R4" s="314">
        <f t="shared" ref="R4" si="10">Q4/$Q$42</f>
        <v>9.4666666666666668</v>
      </c>
      <c r="S4" s="299">
        <f t="shared" ref="S4" si="11">((Q4-$Q$3)/$Q$3)</f>
        <v>3.5335689045936395E-3</v>
      </c>
      <c r="T4" s="297">
        <v>299</v>
      </c>
      <c r="U4" s="314">
        <f t="shared" ref="U4" si="12">T4/$T$42</f>
        <v>9.34375</v>
      </c>
      <c r="V4" s="299">
        <f t="shared" ref="V4" si="13">((T4-$T$3)/$T$3)</f>
        <v>-2.922077922077922E-2</v>
      </c>
      <c r="W4" s="297">
        <v>338</v>
      </c>
      <c r="X4" s="314">
        <f t="shared" ref="X4" si="14">W4/$W$42</f>
        <v>13</v>
      </c>
      <c r="Y4" s="299">
        <f t="shared" ref="Y4" si="15">((W4-$W$3)/$W$3)</f>
        <v>-1.4577259475218658E-2</v>
      </c>
      <c r="Z4" s="297">
        <v>286</v>
      </c>
      <c r="AA4" s="314">
        <f t="shared" ref="AA4" si="16">Z4/$Z$42</f>
        <v>8.4117647058823533</v>
      </c>
      <c r="AB4" s="299">
        <f t="shared" ref="AB4" si="17">((Z4-$Z$3)/$Z$3)</f>
        <v>2.8776978417266189E-2</v>
      </c>
      <c r="AC4" s="297">
        <v>341</v>
      </c>
      <c r="AD4" s="315">
        <f t="shared" ref="AD4" si="18">AC4/$AC$42</f>
        <v>11</v>
      </c>
      <c r="AE4" s="295">
        <f t="shared" ref="AE4" si="19">((AC4-$AC$3)/$AC$3)</f>
        <v>5.8997050147492625E-3</v>
      </c>
      <c r="AF4" s="292"/>
    </row>
    <row r="5" spans="1:34" x14ac:dyDescent="0.2">
      <c r="A5" s="210">
        <v>2</v>
      </c>
      <c r="B5" s="180">
        <v>286</v>
      </c>
      <c r="C5" s="313">
        <f t="shared" ref="C5" si="20">B5/$B$42</f>
        <v>9.2258064516129039</v>
      </c>
      <c r="D5" s="299">
        <f t="shared" ref="D5" si="21">((B5-$B$3)/$B$3)</f>
        <v>-3.4843205574912892E-3</v>
      </c>
      <c r="E5" s="297">
        <v>248</v>
      </c>
      <c r="F5" s="314">
        <f t="shared" ref="F5" si="22">E5/$E$42</f>
        <v>8</v>
      </c>
      <c r="G5" s="299">
        <f t="shared" ref="G5" si="23">((E5-$E$3)/$E$3)</f>
        <v>-1.1952191235059761E-2</v>
      </c>
      <c r="H5" s="297">
        <v>329</v>
      </c>
      <c r="I5" s="314">
        <f t="shared" ref="I5" si="24">H5/$H$42</f>
        <v>5.9818181818181815</v>
      </c>
      <c r="J5" s="299">
        <f t="shared" ref="J5" si="25">((H5-$H$3)/$H$3)</f>
        <v>-2.6627218934911243E-2</v>
      </c>
      <c r="K5" s="297">
        <v>299</v>
      </c>
      <c r="L5" s="314">
        <f t="shared" ref="L5" si="26">K5/$K$42</f>
        <v>11.5</v>
      </c>
      <c r="M5" s="299">
        <f t="shared" ref="M5" si="27">((K5-$K$3)/$K$3)</f>
        <v>0</v>
      </c>
      <c r="N5" s="297">
        <v>225</v>
      </c>
      <c r="O5" s="314">
        <f t="shared" ref="O5" si="28">N5/$N$42</f>
        <v>7.7586206896551726</v>
      </c>
      <c r="P5" s="299">
        <f t="shared" ref="P5" si="29">((N5-$N$3)/$N$3)</f>
        <v>-1.3157894736842105E-2</v>
      </c>
      <c r="Q5" s="297">
        <v>284</v>
      </c>
      <c r="R5" s="314">
        <f t="shared" ref="R5" si="30">Q5/$Q$42</f>
        <v>9.4666666666666668</v>
      </c>
      <c r="S5" s="299">
        <f t="shared" ref="S5" si="31">((Q5-$Q$3)/$Q$3)</f>
        <v>3.5335689045936395E-3</v>
      </c>
      <c r="T5" s="297">
        <v>306</v>
      </c>
      <c r="U5" s="314">
        <f t="shared" ref="U5" si="32">T5/$T$42</f>
        <v>9.5625</v>
      </c>
      <c r="V5" s="299">
        <f t="shared" ref="V5" si="33">((T5-$T$3)/$T$3)</f>
        <v>-6.4935064935064939E-3</v>
      </c>
      <c r="W5" s="297">
        <v>333</v>
      </c>
      <c r="X5" s="314">
        <f t="shared" ref="X5" si="34">W5/$W$42</f>
        <v>12.807692307692308</v>
      </c>
      <c r="Y5" s="299">
        <f t="shared" ref="Y5" si="35">((W5-$W$3)/$W$3)</f>
        <v>-2.9154518950437316E-2</v>
      </c>
      <c r="Z5" s="297">
        <v>285</v>
      </c>
      <c r="AA5" s="314">
        <f t="shared" ref="AA5" si="36">Z5/$Z$42</f>
        <v>8.382352941176471</v>
      </c>
      <c r="AB5" s="299">
        <f t="shared" ref="AB5" si="37">((Z5-$Z$3)/$Z$3)</f>
        <v>2.5179856115107913E-2</v>
      </c>
      <c r="AC5" s="297">
        <v>350</v>
      </c>
      <c r="AD5" s="315">
        <f t="shared" ref="AD5" si="38">AC5/$AC$42</f>
        <v>11.290322580645162</v>
      </c>
      <c r="AE5" s="295">
        <f t="shared" ref="AE5" si="39">((AC5-$AC$3)/$AC$3)</f>
        <v>3.2448377581120944E-2</v>
      </c>
      <c r="AF5" s="292"/>
    </row>
    <row r="6" spans="1:34" x14ac:dyDescent="0.2">
      <c r="A6" s="210">
        <v>3</v>
      </c>
      <c r="B6" s="180">
        <v>287</v>
      </c>
      <c r="C6" s="313">
        <f t="shared" ref="C6:C38" si="40">B6/$B$42</f>
        <v>9.258064516129032</v>
      </c>
      <c r="D6" s="299">
        <f t="shared" ref="D6:D38" si="41">((B6-$B$3)/$B$3)</f>
        <v>0</v>
      </c>
      <c r="E6" s="297">
        <v>246</v>
      </c>
      <c r="F6" s="314">
        <f t="shared" ref="F6:F38" si="42">E6/$E$42</f>
        <v>7.935483870967742</v>
      </c>
      <c r="G6" s="299">
        <f t="shared" ref="G6:G38" si="43">((E6-$E$3)/$E$3)</f>
        <v>-1.9920318725099601E-2</v>
      </c>
      <c r="H6" s="297">
        <v>332</v>
      </c>
      <c r="I6" s="314">
        <f t="shared" ref="I6:I38" si="44">H6/$H$42</f>
        <v>6.0363636363636362</v>
      </c>
      <c r="J6" s="299">
        <f t="shared" ref="J6:J38" si="45">((H6-$H$3)/$H$3)</f>
        <v>-1.7751479289940829E-2</v>
      </c>
      <c r="K6" s="297">
        <v>293</v>
      </c>
      <c r="L6" s="314">
        <f t="shared" ref="L6:L38" si="46">K6/$K$42</f>
        <v>11.26923076923077</v>
      </c>
      <c r="M6" s="299">
        <f t="shared" ref="M6:M38" si="47">((K6-$K$3)/$K$3)</f>
        <v>-2.0066889632107024E-2</v>
      </c>
      <c r="N6" s="297">
        <v>226</v>
      </c>
      <c r="O6" s="314">
        <f t="shared" ref="O6:O38" si="48">N6/$N$42</f>
        <v>7.7931034482758621</v>
      </c>
      <c r="P6" s="299">
        <f t="shared" ref="P6:P38" si="49">((N6-$N$3)/$N$3)</f>
        <v>-8.771929824561403E-3</v>
      </c>
      <c r="Q6" s="297">
        <v>286</v>
      </c>
      <c r="R6" s="314">
        <f t="shared" ref="R6:R38" si="50">Q6/$Q$42</f>
        <v>9.5333333333333332</v>
      </c>
      <c r="S6" s="299">
        <f t="shared" ref="S6:S38" si="51">((Q6-$Q$3)/$Q$3)</f>
        <v>1.0600706713780919E-2</v>
      </c>
      <c r="T6" s="297">
        <v>303</v>
      </c>
      <c r="U6" s="314">
        <f t="shared" ref="U6:U38" si="52">T6/$T$42</f>
        <v>9.46875</v>
      </c>
      <c r="V6" s="299">
        <f t="shared" ref="V6:V38" si="53">((T6-$T$3)/$T$3)</f>
        <v>-1.6233766233766232E-2</v>
      </c>
      <c r="W6" s="297">
        <v>326</v>
      </c>
      <c r="X6" s="314">
        <f t="shared" ref="X6:X38" si="54">W6/$W$42</f>
        <v>12.538461538461538</v>
      </c>
      <c r="Y6" s="299">
        <f t="shared" ref="Y6:Y38" si="55">((W6-$W$3)/$W$3)</f>
        <v>-4.9562682215743441E-2</v>
      </c>
      <c r="Z6" s="297">
        <v>278</v>
      </c>
      <c r="AA6" s="314">
        <f t="shared" ref="AA6:AA38" si="56">Z6/$Z$42</f>
        <v>8.1764705882352935</v>
      </c>
      <c r="AB6" s="299">
        <f t="shared" ref="AB6:AB38" si="57">((Z6-$Z$3)/$Z$3)</f>
        <v>0</v>
      </c>
      <c r="AC6" s="297">
        <v>353</v>
      </c>
      <c r="AD6" s="315">
        <f t="shared" ref="AD6:AD38" si="58">AC6/$AC$42</f>
        <v>11.387096774193548</v>
      </c>
      <c r="AE6" s="295">
        <f t="shared" ref="AE6:AE38" si="59">((AC6-$AC$3)/$AC$3)</f>
        <v>4.1297935103244837E-2</v>
      </c>
      <c r="AF6" s="292"/>
    </row>
    <row r="7" spans="1:34" x14ac:dyDescent="0.2">
      <c r="A7" s="210">
        <v>4</v>
      </c>
      <c r="B7" s="180">
        <v>312</v>
      </c>
      <c r="C7" s="313">
        <f t="shared" si="40"/>
        <v>10.064516129032258</v>
      </c>
      <c r="D7" s="299">
        <f t="shared" si="41"/>
        <v>8.7108013937282236E-2</v>
      </c>
      <c r="E7" s="297">
        <v>284</v>
      </c>
      <c r="F7" s="314">
        <f t="shared" si="42"/>
        <v>9.1612903225806459</v>
      </c>
      <c r="G7" s="299">
        <f t="shared" si="43"/>
        <v>0.13147410358565736</v>
      </c>
      <c r="H7" s="297">
        <v>325</v>
      </c>
      <c r="I7" s="314">
        <f t="shared" si="44"/>
        <v>5.9090909090909092</v>
      </c>
      <c r="J7" s="299">
        <f t="shared" si="45"/>
        <v>-3.8461538461538464E-2</v>
      </c>
      <c r="K7" s="297">
        <v>297</v>
      </c>
      <c r="L7" s="314">
        <f t="shared" si="46"/>
        <v>11.423076923076923</v>
      </c>
      <c r="M7" s="299">
        <f t="shared" si="47"/>
        <v>-6.688963210702341E-3</v>
      </c>
      <c r="N7" s="297">
        <v>264</v>
      </c>
      <c r="O7" s="314">
        <f t="shared" si="48"/>
        <v>9.1034482758620694</v>
      </c>
      <c r="P7" s="299">
        <f t="shared" si="49"/>
        <v>0.15789473684210525</v>
      </c>
      <c r="Q7" s="297">
        <v>348</v>
      </c>
      <c r="R7" s="314">
        <f t="shared" si="50"/>
        <v>11.6</v>
      </c>
      <c r="S7" s="299">
        <f t="shared" si="51"/>
        <v>0.22968197879858657</v>
      </c>
      <c r="T7" s="297">
        <v>299</v>
      </c>
      <c r="U7" s="314">
        <f t="shared" si="52"/>
        <v>9.34375</v>
      </c>
      <c r="V7" s="299">
        <f t="shared" si="53"/>
        <v>-2.922077922077922E-2</v>
      </c>
      <c r="W7" s="297">
        <v>318</v>
      </c>
      <c r="X7" s="314">
        <f t="shared" si="54"/>
        <v>12.23076923076923</v>
      </c>
      <c r="Y7" s="299">
        <f t="shared" si="55"/>
        <v>-7.2886297376093298E-2</v>
      </c>
      <c r="Z7" s="297">
        <v>297</v>
      </c>
      <c r="AA7" s="314">
        <f t="shared" si="56"/>
        <v>8.735294117647058</v>
      </c>
      <c r="AB7" s="299">
        <f t="shared" si="57"/>
        <v>6.83453237410072E-2</v>
      </c>
      <c r="AC7" s="297">
        <v>352</v>
      </c>
      <c r="AD7" s="315">
        <f t="shared" si="58"/>
        <v>11.35483870967742</v>
      </c>
      <c r="AE7" s="295">
        <f t="shared" si="59"/>
        <v>3.8348082595870206E-2</v>
      </c>
      <c r="AF7" s="292"/>
    </row>
    <row r="8" spans="1:34" x14ac:dyDescent="0.2">
      <c r="A8" s="210">
        <v>5</v>
      </c>
      <c r="B8" s="180">
        <v>313</v>
      </c>
      <c r="C8" s="313">
        <f t="shared" si="40"/>
        <v>10.096774193548388</v>
      </c>
      <c r="D8" s="299">
        <f t="shared" si="41"/>
        <v>9.0592334494773524E-2</v>
      </c>
      <c r="E8" s="297">
        <v>280</v>
      </c>
      <c r="F8" s="314">
        <f t="shared" si="42"/>
        <v>9.0322580645161299</v>
      </c>
      <c r="G8" s="299">
        <f t="shared" si="43"/>
        <v>0.11553784860557768</v>
      </c>
      <c r="H8" s="297">
        <v>324</v>
      </c>
      <c r="I8" s="314">
        <f t="shared" si="44"/>
        <v>5.8909090909090907</v>
      </c>
      <c r="J8" s="299">
        <f t="shared" si="45"/>
        <v>-4.142011834319527E-2</v>
      </c>
      <c r="K8" s="297">
        <v>292</v>
      </c>
      <c r="L8" s="314">
        <f t="shared" si="46"/>
        <v>11.23076923076923</v>
      </c>
      <c r="M8" s="299">
        <f t="shared" si="47"/>
        <v>-2.3411371237458192E-2</v>
      </c>
      <c r="N8" s="297">
        <v>268</v>
      </c>
      <c r="O8" s="314">
        <f t="shared" si="48"/>
        <v>9.2413793103448274</v>
      </c>
      <c r="P8" s="299">
        <f t="shared" si="49"/>
        <v>0.17543859649122806</v>
      </c>
      <c r="Q8" s="297">
        <v>348</v>
      </c>
      <c r="R8" s="314">
        <f t="shared" si="50"/>
        <v>11.6</v>
      </c>
      <c r="S8" s="299">
        <f t="shared" si="51"/>
        <v>0.22968197879858657</v>
      </c>
      <c r="T8" s="297">
        <v>301</v>
      </c>
      <c r="U8" s="314">
        <f t="shared" si="52"/>
        <v>9.40625</v>
      </c>
      <c r="V8" s="299">
        <f t="shared" si="53"/>
        <v>-2.2727272727272728E-2</v>
      </c>
      <c r="W8" s="297">
        <v>308</v>
      </c>
      <c r="X8" s="314">
        <f t="shared" si="54"/>
        <v>11.846153846153847</v>
      </c>
      <c r="Y8" s="299">
        <f t="shared" si="55"/>
        <v>-0.10204081632653061</v>
      </c>
      <c r="Z8" s="297">
        <v>295</v>
      </c>
      <c r="AA8" s="314">
        <f t="shared" si="56"/>
        <v>8.6764705882352935</v>
      </c>
      <c r="AB8" s="299">
        <f t="shared" si="57"/>
        <v>6.1151079136690649E-2</v>
      </c>
      <c r="AC8" s="297">
        <v>350</v>
      </c>
      <c r="AD8" s="315">
        <f t="shared" si="58"/>
        <v>11.290322580645162</v>
      </c>
      <c r="AE8" s="295">
        <f t="shared" si="59"/>
        <v>3.2448377581120944E-2</v>
      </c>
      <c r="AF8" s="292"/>
    </row>
    <row r="9" spans="1:34" x14ac:dyDescent="0.2">
      <c r="A9" s="210">
        <v>6</v>
      </c>
      <c r="B9" s="180">
        <v>311</v>
      </c>
      <c r="C9" s="313">
        <f t="shared" si="40"/>
        <v>10.03225806451613</v>
      </c>
      <c r="D9" s="299">
        <f t="shared" si="41"/>
        <v>8.3623693379790948E-2</v>
      </c>
      <c r="E9" s="297">
        <v>283</v>
      </c>
      <c r="F9" s="314">
        <f t="shared" si="42"/>
        <v>9.129032258064516</v>
      </c>
      <c r="G9" s="299">
        <f t="shared" si="43"/>
        <v>0.12749003984063745</v>
      </c>
      <c r="H9" s="297">
        <v>321</v>
      </c>
      <c r="I9" s="314">
        <f t="shared" si="44"/>
        <v>5.836363636363636</v>
      </c>
      <c r="J9" s="299">
        <f t="shared" si="45"/>
        <v>-5.0295857988165681E-2</v>
      </c>
      <c r="K9" s="297">
        <v>284</v>
      </c>
      <c r="L9" s="314">
        <f t="shared" si="46"/>
        <v>10.923076923076923</v>
      </c>
      <c r="M9" s="299">
        <f t="shared" si="47"/>
        <v>-5.016722408026756E-2</v>
      </c>
      <c r="N9" s="297">
        <v>266</v>
      </c>
      <c r="O9" s="314">
        <f t="shared" si="48"/>
        <v>9.1724137931034484</v>
      </c>
      <c r="P9" s="299">
        <f t="shared" si="49"/>
        <v>0.16666666666666666</v>
      </c>
      <c r="Q9" s="297">
        <v>347</v>
      </c>
      <c r="R9" s="314">
        <f t="shared" si="50"/>
        <v>11.566666666666666</v>
      </c>
      <c r="S9" s="299">
        <f t="shared" si="51"/>
        <v>0.22614840989399293</v>
      </c>
      <c r="T9" s="297">
        <v>306</v>
      </c>
      <c r="U9" s="314">
        <f t="shared" si="52"/>
        <v>9.5625</v>
      </c>
      <c r="V9" s="299">
        <f t="shared" si="53"/>
        <v>-6.4935064935064939E-3</v>
      </c>
      <c r="W9" s="297">
        <v>301</v>
      </c>
      <c r="X9" s="314">
        <f t="shared" si="54"/>
        <v>11.576923076923077</v>
      </c>
      <c r="Y9" s="299">
        <f t="shared" si="55"/>
        <v>-0.12244897959183673</v>
      </c>
      <c r="Z9" s="297">
        <v>289</v>
      </c>
      <c r="AA9" s="314">
        <f t="shared" si="56"/>
        <v>8.5</v>
      </c>
      <c r="AB9" s="299">
        <f t="shared" si="57"/>
        <v>3.9568345323741004E-2</v>
      </c>
      <c r="AC9" s="297">
        <v>360</v>
      </c>
      <c r="AD9" s="315">
        <f t="shared" si="58"/>
        <v>11.612903225806452</v>
      </c>
      <c r="AE9" s="295">
        <f t="shared" si="59"/>
        <v>6.1946902654867256E-2</v>
      </c>
      <c r="AF9" s="292"/>
    </row>
    <row r="10" spans="1:34" x14ac:dyDescent="0.2">
      <c r="A10" s="210">
        <v>7</v>
      </c>
      <c r="B10" s="180">
        <v>307</v>
      </c>
      <c r="C10" s="313">
        <f t="shared" si="40"/>
        <v>9.9032258064516121</v>
      </c>
      <c r="D10" s="299">
        <f t="shared" si="41"/>
        <v>6.968641114982578E-2</v>
      </c>
      <c r="E10" s="297">
        <v>285</v>
      </c>
      <c r="F10" s="314">
        <f t="shared" si="42"/>
        <v>9.193548387096774</v>
      </c>
      <c r="G10" s="299">
        <f t="shared" si="43"/>
        <v>0.13545816733067728</v>
      </c>
      <c r="H10" s="297">
        <v>324</v>
      </c>
      <c r="I10" s="314">
        <f t="shared" si="44"/>
        <v>5.8909090909090907</v>
      </c>
      <c r="J10" s="299">
        <f t="shared" si="45"/>
        <v>-4.142011834319527E-2</v>
      </c>
      <c r="K10" s="297">
        <v>286</v>
      </c>
      <c r="L10" s="314">
        <f t="shared" si="46"/>
        <v>11</v>
      </c>
      <c r="M10" s="299">
        <f t="shared" si="47"/>
        <v>-4.3478260869565216E-2</v>
      </c>
      <c r="N10" s="297">
        <v>262</v>
      </c>
      <c r="O10" s="314">
        <f t="shared" si="48"/>
        <v>9.0344827586206904</v>
      </c>
      <c r="P10" s="299">
        <f t="shared" si="49"/>
        <v>0.14912280701754385</v>
      </c>
      <c r="Q10" s="297">
        <v>344</v>
      </c>
      <c r="R10" s="314">
        <f t="shared" si="50"/>
        <v>11.466666666666667</v>
      </c>
      <c r="S10" s="299">
        <f t="shared" si="51"/>
        <v>0.21554770318021202</v>
      </c>
      <c r="T10" s="297">
        <v>301</v>
      </c>
      <c r="U10" s="314">
        <f t="shared" si="52"/>
        <v>9.40625</v>
      </c>
      <c r="V10" s="299">
        <f t="shared" si="53"/>
        <v>-2.2727272727272728E-2</v>
      </c>
      <c r="W10" s="297">
        <v>294</v>
      </c>
      <c r="X10" s="314">
        <f t="shared" si="54"/>
        <v>11.307692307692308</v>
      </c>
      <c r="Y10" s="299">
        <f t="shared" si="55"/>
        <v>-0.14285714285714285</v>
      </c>
      <c r="Z10" s="297">
        <v>289</v>
      </c>
      <c r="AA10" s="314">
        <f t="shared" si="56"/>
        <v>8.5</v>
      </c>
      <c r="AB10" s="299">
        <f t="shared" si="57"/>
        <v>3.9568345323741004E-2</v>
      </c>
      <c r="AC10" s="297">
        <v>370</v>
      </c>
      <c r="AD10" s="315">
        <f t="shared" si="58"/>
        <v>11.935483870967742</v>
      </c>
      <c r="AE10" s="295">
        <f t="shared" si="59"/>
        <v>9.1445427728613568E-2</v>
      </c>
      <c r="AF10" s="292"/>
    </row>
    <row r="11" spans="1:34" x14ac:dyDescent="0.2">
      <c r="A11" s="210">
        <v>8</v>
      </c>
      <c r="B11" s="180">
        <v>301</v>
      </c>
      <c r="C11" s="313">
        <f t="shared" si="40"/>
        <v>9.7096774193548381</v>
      </c>
      <c r="D11" s="299">
        <f t="shared" si="41"/>
        <v>4.878048780487805E-2</v>
      </c>
      <c r="E11" s="297">
        <v>290</v>
      </c>
      <c r="F11" s="314">
        <f t="shared" si="42"/>
        <v>9.3548387096774199</v>
      </c>
      <c r="G11" s="299">
        <f t="shared" si="43"/>
        <v>0.15537848605577689</v>
      </c>
      <c r="H11" s="297">
        <v>332</v>
      </c>
      <c r="I11" s="314">
        <f t="shared" si="44"/>
        <v>6.0363636363636362</v>
      </c>
      <c r="J11" s="299">
        <f t="shared" si="45"/>
        <v>-1.7751479289940829E-2</v>
      </c>
      <c r="K11" s="297">
        <v>290</v>
      </c>
      <c r="L11" s="314">
        <f t="shared" si="46"/>
        <v>11.153846153846153</v>
      </c>
      <c r="M11" s="299">
        <f t="shared" si="47"/>
        <v>-3.0100334448160536E-2</v>
      </c>
      <c r="N11" s="297">
        <v>266</v>
      </c>
      <c r="O11" s="314">
        <f t="shared" si="48"/>
        <v>9.1724137931034484</v>
      </c>
      <c r="P11" s="299">
        <f t="shared" si="49"/>
        <v>0.16666666666666666</v>
      </c>
      <c r="Q11" s="297">
        <v>340</v>
      </c>
      <c r="R11" s="314">
        <f t="shared" si="50"/>
        <v>11.333333333333334</v>
      </c>
      <c r="S11" s="299">
        <f t="shared" si="51"/>
        <v>0.20141342756183744</v>
      </c>
      <c r="T11" s="297">
        <v>300</v>
      </c>
      <c r="U11" s="314">
        <f t="shared" si="52"/>
        <v>9.375</v>
      </c>
      <c r="V11" s="299">
        <f t="shared" si="53"/>
        <v>-2.5974025974025976E-2</v>
      </c>
      <c r="W11" s="297">
        <v>287</v>
      </c>
      <c r="X11" s="314">
        <f t="shared" si="54"/>
        <v>11.038461538461538</v>
      </c>
      <c r="Y11" s="299">
        <f t="shared" si="55"/>
        <v>-0.16326530612244897</v>
      </c>
      <c r="Z11" s="297">
        <v>283</v>
      </c>
      <c r="AA11" s="314">
        <f t="shared" si="56"/>
        <v>8.3235294117647065</v>
      </c>
      <c r="AB11" s="299">
        <f t="shared" si="57"/>
        <v>1.7985611510791366E-2</v>
      </c>
      <c r="AC11" s="297">
        <v>371</v>
      </c>
      <c r="AD11" s="315">
        <f t="shared" si="58"/>
        <v>11.96774193548387</v>
      </c>
      <c r="AE11" s="295">
        <f t="shared" si="59"/>
        <v>9.4395280235988199E-2</v>
      </c>
      <c r="AF11" s="292"/>
    </row>
    <row r="12" spans="1:34" x14ac:dyDescent="0.2">
      <c r="A12" s="210">
        <v>9</v>
      </c>
      <c r="B12" s="180">
        <v>298</v>
      </c>
      <c r="C12" s="313">
        <f t="shared" si="40"/>
        <v>9.612903225806452</v>
      </c>
      <c r="D12" s="299">
        <f t="shared" si="41"/>
        <v>3.8327526132404179E-2</v>
      </c>
      <c r="E12" s="297">
        <v>296</v>
      </c>
      <c r="F12" s="314">
        <f t="shared" si="42"/>
        <v>9.5483870967741939</v>
      </c>
      <c r="G12" s="299">
        <f t="shared" si="43"/>
        <v>0.17928286852589642</v>
      </c>
      <c r="H12" s="297">
        <v>324</v>
      </c>
      <c r="I12" s="314">
        <f t="shared" si="44"/>
        <v>5.8909090909090907</v>
      </c>
      <c r="J12" s="299">
        <f t="shared" si="45"/>
        <v>-4.142011834319527E-2</v>
      </c>
      <c r="K12" s="297">
        <v>288</v>
      </c>
      <c r="L12" s="314">
        <f t="shared" si="46"/>
        <v>11.076923076923077</v>
      </c>
      <c r="M12" s="299">
        <f t="shared" si="47"/>
        <v>-3.678929765886288E-2</v>
      </c>
      <c r="N12" s="297">
        <v>262</v>
      </c>
      <c r="O12" s="314">
        <f t="shared" si="48"/>
        <v>9.0344827586206904</v>
      </c>
      <c r="P12" s="299">
        <f t="shared" si="49"/>
        <v>0.14912280701754385</v>
      </c>
      <c r="Q12" s="297">
        <v>340</v>
      </c>
      <c r="R12" s="314">
        <f t="shared" si="50"/>
        <v>11.333333333333334</v>
      </c>
      <c r="S12" s="299">
        <f t="shared" si="51"/>
        <v>0.20141342756183744</v>
      </c>
      <c r="T12" s="297">
        <v>291</v>
      </c>
      <c r="U12" s="314">
        <f t="shared" si="52"/>
        <v>9.09375</v>
      </c>
      <c r="V12" s="299">
        <f t="shared" si="53"/>
        <v>-5.5194805194805192E-2</v>
      </c>
      <c r="W12" s="297">
        <v>286</v>
      </c>
      <c r="X12" s="314">
        <f t="shared" si="54"/>
        <v>11</v>
      </c>
      <c r="Y12" s="299">
        <f t="shared" si="55"/>
        <v>-0.16618075801749271</v>
      </c>
      <c r="Z12" s="297">
        <v>288</v>
      </c>
      <c r="AA12" s="314">
        <f t="shared" si="56"/>
        <v>8.4705882352941178</v>
      </c>
      <c r="AB12" s="299">
        <f t="shared" si="57"/>
        <v>3.5971223021582732E-2</v>
      </c>
      <c r="AC12" s="297">
        <v>372</v>
      </c>
      <c r="AD12" s="315">
        <f t="shared" si="58"/>
        <v>12</v>
      </c>
      <c r="AE12" s="295">
        <f t="shared" si="59"/>
        <v>9.7345132743362831E-2</v>
      </c>
      <c r="AF12" s="292"/>
      <c r="AH12" s="291"/>
    </row>
    <row r="13" spans="1:34" x14ac:dyDescent="0.2">
      <c r="A13" s="210">
        <v>10</v>
      </c>
      <c r="B13" s="180">
        <v>307</v>
      </c>
      <c r="C13" s="313">
        <f t="shared" si="40"/>
        <v>9.9032258064516121</v>
      </c>
      <c r="D13" s="299">
        <f t="shared" si="41"/>
        <v>6.968641114982578E-2</v>
      </c>
      <c r="E13" s="297">
        <v>303</v>
      </c>
      <c r="F13" s="314">
        <f t="shared" si="42"/>
        <v>9.7741935483870961</v>
      </c>
      <c r="G13" s="299">
        <f t="shared" si="43"/>
        <v>0.20717131474103587</v>
      </c>
      <c r="H13" s="297">
        <v>327</v>
      </c>
      <c r="I13" s="314">
        <f t="shared" si="44"/>
        <v>5.9454545454545453</v>
      </c>
      <c r="J13" s="299">
        <f t="shared" si="45"/>
        <v>-3.2544378698224852E-2</v>
      </c>
      <c r="K13" s="297">
        <v>290</v>
      </c>
      <c r="L13" s="314">
        <f t="shared" si="46"/>
        <v>11.153846153846153</v>
      </c>
      <c r="M13" s="299">
        <f t="shared" si="47"/>
        <v>-3.0100334448160536E-2</v>
      </c>
      <c r="N13" s="297">
        <v>265</v>
      </c>
      <c r="O13" s="314">
        <f t="shared" si="48"/>
        <v>9.137931034482758</v>
      </c>
      <c r="P13" s="299">
        <f t="shared" si="49"/>
        <v>0.16228070175438597</v>
      </c>
      <c r="Q13" s="297">
        <v>337</v>
      </c>
      <c r="R13" s="314">
        <f t="shared" si="50"/>
        <v>11.233333333333333</v>
      </c>
      <c r="S13" s="299">
        <f t="shared" si="51"/>
        <v>0.19081272084805653</v>
      </c>
      <c r="T13" s="297">
        <v>287</v>
      </c>
      <c r="U13" s="314">
        <f t="shared" si="52"/>
        <v>8.96875</v>
      </c>
      <c r="V13" s="299">
        <f t="shared" si="53"/>
        <v>-6.8181818181818177E-2</v>
      </c>
      <c r="W13" s="297">
        <v>284</v>
      </c>
      <c r="X13" s="314">
        <f t="shared" si="54"/>
        <v>10.923076923076923</v>
      </c>
      <c r="Y13" s="299">
        <f t="shared" si="55"/>
        <v>-0.17201166180758018</v>
      </c>
      <c r="Z13" s="297">
        <v>281</v>
      </c>
      <c r="AA13" s="314">
        <f t="shared" si="56"/>
        <v>8.264705882352942</v>
      </c>
      <c r="AB13" s="299">
        <f t="shared" si="57"/>
        <v>1.0791366906474821E-2</v>
      </c>
      <c r="AC13" s="297">
        <v>376</v>
      </c>
      <c r="AD13" s="315">
        <f t="shared" si="58"/>
        <v>12.129032258064516</v>
      </c>
      <c r="AE13" s="295">
        <f t="shared" si="59"/>
        <v>0.10914454277286136</v>
      </c>
      <c r="AF13" s="292"/>
      <c r="AH13" s="291"/>
    </row>
    <row r="14" spans="1:34" x14ac:dyDescent="0.2">
      <c r="A14" s="210">
        <v>11</v>
      </c>
      <c r="B14" s="180">
        <v>301</v>
      </c>
      <c r="C14" s="313">
        <f t="shared" si="40"/>
        <v>9.7096774193548381</v>
      </c>
      <c r="D14" s="299">
        <f t="shared" si="41"/>
        <v>4.878048780487805E-2</v>
      </c>
      <c r="E14" s="297">
        <v>304</v>
      </c>
      <c r="F14" s="314">
        <f t="shared" si="42"/>
        <v>9.806451612903226</v>
      </c>
      <c r="G14" s="299">
        <f t="shared" si="43"/>
        <v>0.21115537848605578</v>
      </c>
      <c r="H14" s="297">
        <v>324</v>
      </c>
      <c r="I14" s="314">
        <f t="shared" si="44"/>
        <v>5.8909090909090907</v>
      </c>
      <c r="J14" s="299">
        <f t="shared" si="45"/>
        <v>-4.142011834319527E-2</v>
      </c>
      <c r="K14" s="297">
        <v>284</v>
      </c>
      <c r="L14" s="314">
        <f t="shared" si="46"/>
        <v>10.923076923076923</v>
      </c>
      <c r="M14" s="299">
        <f t="shared" si="47"/>
        <v>-5.016722408026756E-2</v>
      </c>
      <c r="N14" s="297">
        <v>271</v>
      </c>
      <c r="O14" s="314">
        <f t="shared" si="48"/>
        <v>9.3448275862068968</v>
      </c>
      <c r="P14" s="299">
        <f t="shared" si="49"/>
        <v>0.18859649122807018</v>
      </c>
      <c r="Q14" s="297">
        <v>335</v>
      </c>
      <c r="R14" s="314">
        <f t="shared" si="50"/>
        <v>11.166666666666666</v>
      </c>
      <c r="S14" s="299">
        <f t="shared" si="51"/>
        <v>0.18374558303886926</v>
      </c>
      <c r="T14" s="297">
        <v>280</v>
      </c>
      <c r="U14" s="314">
        <f t="shared" si="52"/>
        <v>8.75</v>
      </c>
      <c r="V14" s="299">
        <f t="shared" si="53"/>
        <v>-9.0909090909090912E-2</v>
      </c>
      <c r="W14" s="297">
        <v>286</v>
      </c>
      <c r="X14" s="314">
        <f t="shared" si="54"/>
        <v>11</v>
      </c>
      <c r="Y14" s="299">
        <f t="shared" si="55"/>
        <v>-0.16618075801749271</v>
      </c>
      <c r="Z14" s="297">
        <v>286</v>
      </c>
      <c r="AA14" s="314">
        <f t="shared" si="56"/>
        <v>8.4117647058823533</v>
      </c>
      <c r="AB14" s="299">
        <f t="shared" si="57"/>
        <v>2.8776978417266189E-2</v>
      </c>
      <c r="AC14" s="297">
        <v>374</v>
      </c>
      <c r="AD14" s="315">
        <f t="shared" si="58"/>
        <v>12.064516129032258</v>
      </c>
      <c r="AE14" s="295">
        <f t="shared" si="59"/>
        <v>0.10324483775811209</v>
      </c>
      <c r="AF14" s="292"/>
      <c r="AH14" s="291"/>
    </row>
    <row r="15" spans="1:34" x14ac:dyDescent="0.2">
      <c r="A15" s="210">
        <v>12</v>
      </c>
      <c r="B15" s="180">
        <v>297</v>
      </c>
      <c r="C15" s="313">
        <f t="shared" si="40"/>
        <v>9.5806451612903221</v>
      </c>
      <c r="D15" s="299">
        <f t="shared" si="41"/>
        <v>3.484320557491289E-2</v>
      </c>
      <c r="E15" s="297">
        <v>307</v>
      </c>
      <c r="F15" s="314">
        <f t="shared" si="42"/>
        <v>9.9032258064516121</v>
      </c>
      <c r="G15" s="299">
        <f t="shared" si="43"/>
        <v>0.22310756972111553</v>
      </c>
      <c r="H15" s="297">
        <v>325</v>
      </c>
      <c r="I15" s="314">
        <f t="shared" si="44"/>
        <v>5.9090909090909092</v>
      </c>
      <c r="J15" s="299">
        <f t="shared" si="45"/>
        <v>-3.8461538461538464E-2</v>
      </c>
      <c r="K15" s="297">
        <v>274</v>
      </c>
      <c r="L15" s="314">
        <f t="shared" si="46"/>
        <v>10.538461538461538</v>
      </c>
      <c r="M15" s="299">
        <f t="shared" si="47"/>
        <v>-8.3612040133779264E-2</v>
      </c>
      <c r="N15" s="297">
        <v>277</v>
      </c>
      <c r="O15" s="314">
        <f t="shared" si="48"/>
        <v>9.5517241379310338</v>
      </c>
      <c r="P15" s="299">
        <f t="shared" si="49"/>
        <v>0.21491228070175439</v>
      </c>
      <c r="Q15" s="297">
        <v>337</v>
      </c>
      <c r="R15" s="314">
        <f t="shared" si="50"/>
        <v>11.233333333333333</v>
      </c>
      <c r="S15" s="299">
        <f t="shared" si="51"/>
        <v>0.19081272084805653</v>
      </c>
      <c r="T15" s="297">
        <v>266</v>
      </c>
      <c r="U15" s="314">
        <f t="shared" si="52"/>
        <v>8.3125</v>
      </c>
      <c r="V15" s="299">
        <f t="shared" si="53"/>
        <v>-0.13636363636363635</v>
      </c>
      <c r="W15" s="297">
        <v>280</v>
      </c>
      <c r="X15" s="314">
        <f t="shared" si="54"/>
        <v>10.76923076923077</v>
      </c>
      <c r="Y15" s="299">
        <f t="shared" si="55"/>
        <v>-0.18367346938775511</v>
      </c>
      <c r="Z15" s="297">
        <v>281</v>
      </c>
      <c r="AA15" s="314">
        <f t="shared" si="56"/>
        <v>8.264705882352942</v>
      </c>
      <c r="AB15" s="299">
        <f t="shared" si="57"/>
        <v>1.0791366906474821E-2</v>
      </c>
      <c r="AC15" s="297">
        <v>381</v>
      </c>
      <c r="AD15" s="315">
        <f t="shared" si="58"/>
        <v>12.290322580645162</v>
      </c>
      <c r="AE15" s="295">
        <f t="shared" si="59"/>
        <v>0.12389380530973451</v>
      </c>
      <c r="AF15" s="292"/>
      <c r="AH15" s="291"/>
    </row>
    <row r="16" spans="1:34" x14ac:dyDescent="0.2">
      <c r="A16" s="210">
        <v>13</v>
      </c>
      <c r="B16" s="180">
        <v>297</v>
      </c>
      <c r="C16" s="313">
        <f t="shared" si="40"/>
        <v>9.5806451612903221</v>
      </c>
      <c r="D16" s="299">
        <f t="shared" si="41"/>
        <v>3.484320557491289E-2</v>
      </c>
      <c r="E16" s="297">
        <v>305</v>
      </c>
      <c r="F16" s="314">
        <f t="shared" si="42"/>
        <v>9.8387096774193541</v>
      </c>
      <c r="G16" s="299">
        <f t="shared" si="43"/>
        <v>0.2151394422310757</v>
      </c>
      <c r="H16" s="297">
        <v>323</v>
      </c>
      <c r="I16" s="314">
        <f t="shared" si="44"/>
        <v>5.872727272727273</v>
      </c>
      <c r="J16" s="299">
        <f t="shared" si="45"/>
        <v>-4.4378698224852069E-2</v>
      </c>
      <c r="K16" s="297">
        <v>273</v>
      </c>
      <c r="L16" s="314">
        <f t="shared" si="46"/>
        <v>10.5</v>
      </c>
      <c r="M16" s="299">
        <f t="shared" si="47"/>
        <v>-8.6956521739130432E-2</v>
      </c>
      <c r="N16" s="297">
        <v>279</v>
      </c>
      <c r="O16" s="314">
        <f t="shared" si="48"/>
        <v>9.6206896551724146</v>
      </c>
      <c r="P16" s="299">
        <f t="shared" si="49"/>
        <v>0.22368421052631579</v>
      </c>
      <c r="Q16" s="297">
        <v>344</v>
      </c>
      <c r="R16" s="314">
        <f t="shared" si="50"/>
        <v>11.466666666666667</v>
      </c>
      <c r="S16" s="299">
        <f t="shared" si="51"/>
        <v>0.21554770318021202</v>
      </c>
      <c r="T16" s="297">
        <v>261</v>
      </c>
      <c r="U16" s="314">
        <f t="shared" si="52"/>
        <v>8.15625</v>
      </c>
      <c r="V16" s="299">
        <f t="shared" si="53"/>
        <v>-0.15259740259740259</v>
      </c>
      <c r="W16" s="297">
        <v>278</v>
      </c>
      <c r="X16" s="314">
        <f t="shared" si="54"/>
        <v>10.692307692307692</v>
      </c>
      <c r="Y16" s="299">
        <f t="shared" si="55"/>
        <v>-0.18950437317784258</v>
      </c>
      <c r="Z16" s="297">
        <v>284</v>
      </c>
      <c r="AA16" s="314">
        <f t="shared" si="56"/>
        <v>8.3529411764705888</v>
      </c>
      <c r="AB16" s="299">
        <f t="shared" si="57"/>
        <v>2.1582733812949641E-2</v>
      </c>
      <c r="AC16" s="297">
        <v>381</v>
      </c>
      <c r="AD16" s="315">
        <f t="shared" si="58"/>
        <v>12.290322580645162</v>
      </c>
      <c r="AE16" s="295">
        <f t="shared" si="59"/>
        <v>0.12389380530973451</v>
      </c>
      <c r="AF16" s="292"/>
      <c r="AH16" s="291"/>
    </row>
    <row r="17" spans="1:34" x14ac:dyDescent="0.2">
      <c r="A17" s="210">
        <v>14</v>
      </c>
      <c r="B17" s="180">
        <v>296</v>
      </c>
      <c r="C17" s="313">
        <f t="shared" si="40"/>
        <v>9.5483870967741939</v>
      </c>
      <c r="D17" s="299">
        <f t="shared" si="41"/>
        <v>3.1358885017421602E-2</v>
      </c>
      <c r="E17" s="297">
        <v>296</v>
      </c>
      <c r="F17" s="314">
        <f t="shared" si="42"/>
        <v>9.5483870967741939</v>
      </c>
      <c r="G17" s="299">
        <f t="shared" si="43"/>
        <v>0.17928286852589642</v>
      </c>
      <c r="H17" s="297">
        <v>322</v>
      </c>
      <c r="I17" s="314">
        <f t="shared" si="44"/>
        <v>5.8545454545454545</v>
      </c>
      <c r="J17" s="299">
        <f t="shared" si="45"/>
        <v>-4.7337278106508875E-2</v>
      </c>
      <c r="K17" s="297">
        <v>263</v>
      </c>
      <c r="L17" s="314">
        <f t="shared" si="46"/>
        <v>10.115384615384615</v>
      </c>
      <c r="M17" s="299">
        <f t="shared" si="47"/>
        <v>-0.12040133779264214</v>
      </c>
      <c r="N17" s="297">
        <v>284</v>
      </c>
      <c r="O17" s="314">
        <f t="shared" si="48"/>
        <v>9.7931034482758612</v>
      </c>
      <c r="P17" s="299">
        <f t="shared" si="49"/>
        <v>0.24561403508771928</v>
      </c>
      <c r="Q17" s="297">
        <v>344</v>
      </c>
      <c r="R17" s="314">
        <f t="shared" si="50"/>
        <v>11.466666666666667</v>
      </c>
      <c r="S17" s="299">
        <f t="shared" si="51"/>
        <v>0.21554770318021202</v>
      </c>
      <c r="T17" s="297">
        <v>268</v>
      </c>
      <c r="U17" s="314">
        <f t="shared" si="52"/>
        <v>8.375</v>
      </c>
      <c r="V17" s="299">
        <f t="shared" si="53"/>
        <v>-0.12987012987012986</v>
      </c>
      <c r="W17" s="297">
        <v>272</v>
      </c>
      <c r="X17" s="314">
        <f t="shared" si="54"/>
        <v>10.461538461538462</v>
      </c>
      <c r="Y17" s="299">
        <f t="shared" si="55"/>
        <v>-0.20699708454810495</v>
      </c>
      <c r="Z17" s="297">
        <v>281</v>
      </c>
      <c r="AA17" s="314">
        <f t="shared" si="56"/>
        <v>8.264705882352942</v>
      </c>
      <c r="AB17" s="299">
        <f t="shared" si="57"/>
        <v>1.0791366906474821E-2</v>
      </c>
      <c r="AC17" s="297">
        <v>379</v>
      </c>
      <c r="AD17" s="315">
        <f t="shared" si="58"/>
        <v>12.225806451612904</v>
      </c>
      <c r="AE17" s="295">
        <f t="shared" si="59"/>
        <v>0.11799410029498525</v>
      </c>
      <c r="AF17" s="292"/>
      <c r="AH17" s="291"/>
    </row>
    <row r="18" spans="1:34" x14ac:dyDescent="0.2">
      <c r="A18" s="210">
        <v>15</v>
      </c>
      <c r="B18" s="180">
        <v>296</v>
      </c>
      <c r="C18" s="313">
        <f t="shared" si="40"/>
        <v>9.5483870967741939</v>
      </c>
      <c r="D18" s="299">
        <f t="shared" si="41"/>
        <v>3.1358885017421602E-2</v>
      </c>
      <c r="E18" s="297">
        <v>300</v>
      </c>
      <c r="F18" s="314">
        <f t="shared" si="42"/>
        <v>9.67741935483871</v>
      </c>
      <c r="G18" s="299">
        <f t="shared" si="43"/>
        <v>0.19521912350597609</v>
      </c>
      <c r="H18" s="297">
        <v>322</v>
      </c>
      <c r="I18" s="314">
        <f t="shared" si="44"/>
        <v>5.8545454545454545</v>
      </c>
      <c r="J18" s="299">
        <f t="shared" si="45"/>
        <v>-4.7337278106508875E-2</v>
      </c>
      <c r="K18" s="297">
        <v>265</v>
      </c>
      <c r="L18" s="314">
        <f t="shared" si="46"/>
        <v>10.192307692307692</v>
      </c>
      <c r="M18" s="299">
        <f t="shared" si="47"/>
        <v>-0.11371237458193979</v>
      </c>
      <c r="N18" s="297">
        <v>283</v>
      </c>
      <c r="O18" s="314">
        <f t="shared" si="48"/>
        <v>9.7586206896551726</v>
      </c>
      <c r="P18" s="299">
        <f t="shared" si="49"/>
        <v>0.2412280701754386</v>
      </c>
      <c r="Q18" s="297">
        <v>339</v>
      </c>
      <c r="R18" s="314">
        <f t="shared" si="50"/>
        <v>11.3</v>
      </c>
      <c r="S18" s="299">
        <f t="shared" si="51"/>
        <v>0.19787985865724381</v>
      </c>
      <c r="T18" s="297">
        <v>265</v>
      </c>
      <c r="U18" s="314">
        <f t="shared" si="52"/>
        <v>8.28125</v>
      </c>
      <c r="V18" s="299">
        <f t="shared" si="53"/>
        <v>-0.1396103896103896</v>
      </c>
      <c r="W18" s="297">
        <v>274</v>
      </c>
      <c r="X18" s="314">
        <f t="shared" si="54"/>
        <v>10.538461538461538</v>
      </c>
      <c r="Y18" s="299">
        <f t="shared" si="55"/>
        <v>-0.20116618075801748</v>
      </c>
      <c r="Z18" s="297">
        <v>286</v>
      </c>
      <c r="AA18" s="314">
        <f t="shared" si="56"/>
        <v>8.4117647058823533</v>
      </c>
      <c r="AB18" s="299">
        <f t="shared" si="57"/>
        <v>2.8776978417266189E-2</v>
      </c>
      <c r="AC18" s="297">
        <v>381</v>
      </c>
      <c r="AD18" s="315">
        <f t="shared" si="58"/>
        <v>12.290322580645162</v>
      </c>
      <c r="AE18" s="295">
        <f t="shared" si="59"/>
        <v>0.12389380530973451</v>
      </c>
      <c r="AF18" s="292"/>
      <c r="AG18" s="272"/>
      <c r="AH18" s="291"/>
    </row>
    <row r="19" spans="1:34" x14ac:dyDescent="0.2">
      <c r="A19" s="210">
        <v>16</v>
      </c>
      <c r="B19" s="180">
        <v>293</v>
      </c>
      <c r="C19" s="313">
        <f t="shared" si="40"/>
        <v>9.4516129032258061</v>
      </c>
      <c r="D19" s="299">
        <f t="shared" si="41"/>
        <v>2.0905923344947737E-2</v>
      </c>
      <c r="E19" s="297">
        <v>305</v>
      </c>
      <c r="F19" s="314">
        <f t="shared" si="42"/>
        <v>9.8387096774193541</v>
      </c>
      <c r="G19" s="299">
        <f t="shared" si="43"/>
        <v>0.2151394422310757</v>
      </c>
      <c r="H19" s="297">
        <v>324</v>
      </c>
      <c r="I19" s="314">
        <f t="shared" si="44"/>
        <v>5.8909090909090907</v>
      </c>
      <c r="J19" s="299">
        <f t="shared" si="45"/>
        <v>-4.142011834319527E-2</v>
      </c>
      <c r="K19" s="297">
        <v>270</v>
      </c>
      <c r="L19" s="314">
        <f t="shared" si="46"/>
        <v>10.384615384615385</v>
      </c>
      <c r="M19" s="299">
        <f t="shared" si="47"/>
        <v>-9.6989966555183951E-2</v>
      </c>
      <c r="N19" s="297">
        <v>282</v>
      </c>
      <c r="O19" s="314">
        <f t="shared" si="48"/>
        <v>9.7241379310344822</v>
      </c>
      <c r="P19" s="299">
        <f t="shared" si="49"/>
        <v>0.23684210526315788</v>
      </c>
      <c r="Q19" s="297">
        <v>337</v>
      </c>
      <c r="R19" s="314">
        <f t="shared" si="50"/>
        <v>11.233333333333333</v>
      </c>
      <c r="S19" s="299">
        <f t="shared" si="51"/>
        <v>0.19081272084805653</v>
      </c>
      <c r="T19" s="297">
        <v>268</v>
      </c>
      <c r="U19" s="314">
        <f t="shared" si="52"/>
        <v>8.375</v>
      </c>
      <c r="V19" s="299">
        <f t="shared" si="53"/>
        <v>-0.12987012987012986</v>
      </c>
      <c r="W19" s="297">
        <v>275</v>
      </c>
      <c r="X19" s="314">
        <f t="shared" si="54"/>
        <v>10.576923076923077</v>
      </c>
      <c r="Y19" s="299">
        <f t="shared" si="55"/>
        <v>-0.19825072886297376</v>
      </c>
      <c r="Z19" s="297">
        <v>289</v>
      </c>
      <c r="AA19" s="314">
        <f t="shared" si="56"/>
        <v>8.5</v>
      </c>
      <c r="AB19" s="299">
        <f t="shared" si="57"/>
        <v>3.9568345323741004E-2</v>
      </c>
      <c r="AC19" s="297">
        <v>383</v>
      </c>
      <c r="AD19" s="315">
        <f t="shared" si="58"/>
        <v>12.35483870967742</v>
      </c>
      <c r="AE19" s="295">
        <f t="shared" si="59"/>
        <v>0.12979351032448377</v>
      </c>
      <c r="AF19" s="292"/>
      <c r="AG19" s="272"/>
      <c r="AH19" s="291"/>
    </row>
    <row r="20" spans="1:34" x14ac:dyDescent="0.2">
      <c r="A20" s="210">
        <v>17</v>
      </c>
      <c r="B20" s="180">
        <v>293</v>
      </c>
      <c r="C20" s="313">
        <f t="shared" si="40"/>
        <v>9.4516129032258061</v>
      </c>
      <c r="D20" s="299">
        <f t="shared" si="41"/>
        <v>2.0905923344947737E-2</v>
      </c>
      <c r="E20" s="297">
        <v>310</v>
      </c>
      <c r="F20" s="314">
        <f t="shared" si="42"/>
        <v>10</v>
      </c>
      <c r="G20" s="299">
        <f t="shared" si="43"/>
        <v>0.23505976095617531</v>
      </c>
      <c r="H20" s="297">
        <v>321</v>
      </c>
      <c r="I20" s="314">
        <f t="shared" si="44"/>
        <v>5.836363636363636</v>
      </c>
      <c r="J20" s="299">
        <f t="shared" si="45"/>
        <v>-5.0295857988165681E-2</v>
      </c>
      <c r="K20" s="297">
        <v>266</v>
      </c>
      <c r="L20" s="314">
        <f t="shared" si="46"/>
        <v>10.23076923076923</v>
      </c>
      <c r="M20" s="299">
        <f t="shared" si="47"/>
        <v>-0.11036789297658862</v>
      </c>
      <c r="N20" s="297">
        <v>284</v>
      </c>
      <c r="O20" s="314">
        <f t="shared" si="48"/>
        <v>9.7931034482758612</v>
      </c>
      <c r="P20" s="299">
        <f t="shared" si="49"/>
        <v>0.24561403508771928</v>
      </c>
      <c r="Q20" s="297">
        <v>342</v>
      </c>
      <c r="R20" s="314">
        <f t="shared" si="50"/>
        <v>11.4</v>
      </c>
      <c r="S20" s="299">
        <f t="shared" si="51"/>
        <v>0.20848056537102475</v>
      </c>
      <c r="T20" s="297">
        <v>271</v>
      </c>
      <c r="U20" s="314">
        <f t="shared" si="52"/>
        <v>8.46875</v>
      </c>
      <c r="V20" s="299">
        <f t="shared" si="53"/>
        <v>-0.12012987012987013</v>
      </c>
      <c r="W20" s="297">
        <v>280</v>
      </c>
      <c r="X20" s="314">
        <f t="shared" si="54"/>
        <v>10.76923076923077</v>
      </c>
      <c r="Y20" s="299">
        <f t="shared" si="55"/>
        <v>-0.18367346938775511</v>
      </c>
      <c r="Z20" s="297">
        <v>286</v>
      </c>
      <c r="AA20" s="314">
        <f t="shared" si="56"/>
        <v>8.4117647058823533</v>
      </c>
      <c r="AB20" s="299">
        <f t="shared" si="57"/>
        <v>2.8776978417266189E-2</v>
      </c>
      <c r="AC20" s="297">
        <v>376</v>
      </c>
      <c r="AD20" s="315">
        <f t="shared" si="58"/>
        <v>12.129032258064516</v>
      </c>
      <c r="AE20" s="295">
        <f t="shared" si="59"/>
        <v>0.10914454277286136</v>
      </c>
      <c r="AF20" s="292"/>
      <c r="AH20" s="291"/>
    </row>
    <row r="21" spans="1:34" x14ac:dyDescent="0.2">
      <c r="A21" s="210">
        <v>18</v>
      </c>
      <c r="B21" s="180">
        <v>287</v>
      </c>
      <c r="C21" s="313">
        <f t="shared" si="40"/>
        <v>9.258064516129032</v>
      </c>
      <c r="D21" s="299">
        <f t="shared" si="41"/>
        <v>0</v>
      </c>
      <c r="E21" s="297">
        <v>312</v>
      </c>
      <c r="F21" s="314">
        <f t="shared" si="42"/>
        <v>10.064516129032258</v>
      </c>
      <c r="G21" s="299">
        <f t="shared" si="43"/>
        <v>0.24302788844621515</v>
      </c>
      <c r="H21" s="297">
        <v>319</v>
      </c>
      <c r="I21" s="314">
        <f t="shared" si="44"/>
        <v>5.8</v>
      </c>
      <c r="J21" s="299">
        <f t="shared" si="45"/>
        <v>-5.6213017751479293E-2</v>
      </c>
      <c r="K21" s="297">
        <v>275</v>
      </c>
      <c r="L21" s="314">
        <f t="shared" si="46"/>
        <v>10.576923076923077</v>
      </c>
      <c r="M21" s="299">
        <f t="shared" si="47"/>
        <v>-8.0267558528428096E-2</v>
      </c>
      <c r="N21" s="297">
        <v>277</v>
      </c>
      <c r="O21" s="314">
        <f t="shared" si="48"/>
        <v>9.5517241379310338</v>
      </c>
      <c r="P21" s="299">
        <f t="shared" si="49"/>
        <v>0.21491228070175439</v>
      </c>
      <c r="Q21" s="297">
        <v>343</v>
      </c>
      <c r="R21" s="314">
        <f t="shared" si="50"/>
        <v>11.433333333333334</v>
      </c>
      <c r="S21" s="299">
        <f t="shared" si="51"/>
        <v>0.21201413427561838</v>
      </c>
      <c r="T21" s="297">
        <v>268</v>
      </c>
      <c r="U21" s="314">
        <f t="shared" si="52"/>
        <v>8.375</v>
      </c>
      <c r="V21" s="299">
        <f t="shared" si="53"/>
        <v>-0.12987012987012986</v>
      </c>
      <c r="W21" s="297">
        <v>273</v>
      </c>
      <c r="X21" s="314">
        <f t="shared" si="54"/>
        <v>10.5</v>
      </c>
      <c r="Y21" s="299">
        <f t="shared" si="55"/>
        <v>-0.20408163265306123</v>
      </c>
      <c r="Z21" s="297">
        <v>288</v>
      </c>
      <c r="AA21" s="314">
        <f t="shared" si="56"/>
        <v>8.4705882352941178</v>
      </c>
      <c r="AB21" s="299">
        <f t="shared" si="57"/>
        <v>3.5971223021582732E-2</v>
      </c>
      <c r="AC21" s="297">
        <v>375</v>
      </c>
      <c r="AD21" s="315">
        <f t="shared" si="58"/>
        <v>12.096774193548388</v>
      </c>
      <c r="AE21" s="295">
        <f t="shared" si="59"/>
        <v>0.10619469026548672</v>
      </c>
    </row>
    <row r="22" spans="1:34" x14ac:dyDescent="0.2">
      <c r="A22" s="210">
        <v>19</v>
      </c>
      <c r="B22" s="180">
        <v>292</v>
      </c>
      <c r="C22" s="313">
        <f t="shared" si="40"/>
        <v>9.4193548387096779</v>
      </c>
      <c r="D22" s="299">
        <f t="shared" si="41"/>
        <v>1.7421602787456445E-2</v>
      </c>
      <c r="E22" s="297">
        <v>307</v>
      </c>
      <c r="F22" s="314">
        <f t="shared" si="42"/>
        <v>9.9032258064516121</v>
      </c>
      <c r="G22" s="299">
        <f t="shared" si="43"/>
        <v>0.22310756972111553</v>
      </c>
      <c r="H22" s="297">
        <v>322</v>
      </c>
      <c r="I22" s="314">
        <f t="shared" si="44"/>
        <v>5.8545454545454545</v>
      </c>
      <c r="J22" s="299">
        <f t="shared" si="45"/>
        <v>-4.7337278106508875E-2</v>
      </c>
      <c r="K22" s="297">
        <v>280</v>
      </c>
      <c r="L22" s="314">
        <f t="shared" si="46"/>
        <v>10.76923076923077</v>
      </c>
      <c r="M22" s="299">
        <f t="shared" si="47"/>
        <v>-6.354515050167224E-2</v>
      </c>
      <c r="N22" s="297">
        <v>267</v>
      </c>
      <c r="O22" s="314">
        <f t="shared" si="48"/>
        <v>9.2068965517241388</v>
      </c>
      <c r="P22" s="299">
        <f t="shared" si="49"/>
        <v>0.17105263157894737</v>
      </c>
      <c r="Q22" s="297">
        <v>346</v>
      </c>
      <c r="R22" s="314">
        <f t="shared" si="50"/>
        <v>11.533333333333333</v>
      </c>
      <c r="S22" s="299">
        <f t="shared" si="51"/>
        <v>0.22261484098939929</v>
      </c>
      <c r="T22" s="297">
        <v>270</v>
      </c>
      <c r="U22" s="314">
        <f t="shared" si="52"/>
        <v>8.4375</v>
      </c>
      <c r="V22" s="299">
        <f t="shared" si="53"/>
        <v>-0.12337662337662338</v>
      </c>
      <c r="W22" s="297">
        <v>273</v>
      </c>
      <c r="X22" s="314">
        <f t="shared" si="54"/>
        <v>10.5</v>
      </c>
      <c r="Y22" s="299">
        <f t="shared" si="55"/>
        <v>-0.20408163265306123</v>
      </c>
      <c r="Z22" s="297">
        <v>288</v>
      </c>
      <c r="AA22" s="314">
        <f t="shared" si="56"/>
        <v>8.4705882352941178</v>
      </c>
      <c r="AB22" s="299">
        <f t="shared" si="57"/>
        <v>3.5971223021582732E-2</v>
      </c>
      <c r="AC22" s="297">
        <v>393</v>
      </c>
      <c r="AD22" s="315">
        <f t="shared" si="58"/>
        <v>12.67741935483871</v>
      </c>
      <c r="AE22" s="295">
        <f t="shared" si="59"/>
        <v>0.15929203539823009</v>
      </c>
    </row>
    <row r="23" spans="1:34" x14ac:dyDescent="0.2">
      <c r="A23" s="210">
        <v>20</v>
      </c>
      <c r="B23" s="180">
        <v>295</v>
      </c>
      <c r="C23" s="313">
        <f t="shared" si="40"/>
        <v>9.5161290322580641</v>
      </c>
      <c r="D23" s="299">
        <f t="shared" si="41"/>
        <v>2.7874564459930314E-2</v>
      </c>
      <c r="E23" s="297">
        <v>304</v>
      </c>
      <c r="F23" s="314">
        <f t="shared" si="42"/>
        <v>9.806451612903226</v>
      </c>
      <c r="G23" s="299">
        <f t="shared" si="43"/>
        <v>0.21115537848605578</v>
      </c>
      <c r="H23" s="297">
        <v>326</v>
      </c>
      <c r="I23" s="314">
        <f t="shared" si="44"/>
        <v>5.9272727272727277</v>
      </c>
      <c r="J23" s="299">
        <f t="shared" si="45"/>
        <v>-3.5502958579881658E-2</v>
      </c>
      <c r="K23" s="297">
        <v>278</v>
      </c>
      <c r="L23" s="314">
        <f t="shared" si="46"/>
        <v>10.692307692307692</v>
      </c>
      <c r="M23" s="299">
        <f t="shared" si="47"/>
        <v>-7.0234113712374577E-2</v>
      </c>
      <c r="N23" s="297">
        <v>262</v>
      </c>
      <c r="O23" s="314">
        <f t="shared" si="48"/>
        <v>9.0344827586206904</v>
      </c>
      <c r="P23" s="299">
        <f t="shared" si="49"/>
        <v>0.14912280701754385</v>
      </c>
      <c r="Q23" s="297">
        <v>351</v>
      </c>
      <c r="R23" s="314">
        <f t="shared" si="50"/>
        <v>11.7</v>
      </c>
      <c r="S23" s="299">
        <f t="shared" si="51"/>
        <v>0.24028268551236748</v>
      </c>
      <c r="T23" s="297">
        <v>270</v>
      </c>
      <c r="U23" s="314">
        <f t="shared" si="52"/>
        <v>8.4375</v>
      </c>
      <c r="V23" s="299">
        <f t="shared" si="53"/>
        <v>-0.12337662337662338</v>
      </c>
      <c r="W23" s="297">
        <v>277</v>
      </c>
      <c r="X23" s="314">
        <f t="shared" si="54"/>
        <v>10.653846153846153</v>
      </c>
      <c r="Y23" s="299">
        <f t="shared" si="55"/>
        <v>-0.1924198250728863</v>
      </c>
      <c r="Z23" s="297">
        <v>289</v>
      </c>
      <c r="AA23" s="314">
        <f t="shared" si="56"/>
        <v>8.5</v>
      </c>
      <c r="AB23" s="299">
        <f t="shared" si="57"/>
        <v>3.9568345323741004E-2</v>
      </c>
      <c r="AC23" s="297">
        <v>389</v>
      </c>
      <c r="AD23" s="315">
        <f t="shared" si="58"/>
        <v>12.548387096774194</v>
      </c>
      <c r="AE23" s="295">
        <f t="shared" si="59"/>
        <v>0.14749262536873156</v>
      </c>
    </row>
    <row r="24" spans="1:34" x14ac:dyDescent="0.2">
      <c r="A24" s="210">
        <v>21</v>
      </c>
      <c r="B24" s="180">
        <v>311</v>
      </c>
      <c r="C24" s="313">
        <f t="shared" si="40"/>
        <v>10.03225806451613</v>
      </c>
      <c r="D24" s="299">
        <f t="shared" si="41"/>
        <v>8.3623693379790948E-2</v>
      </c>
      <c r="E24" s="297">
        <v>344</v>
      </c>
      <c r="F24" s="314">
        <f t="shared" si="42"/>
        <v>11.096774193548388</v>
      </c>
      <c r="G24" s="299">
        <f t="shared" si="43"/>
        <v>0.37051792828685259</v>
      </c>
      <c r="H24" s="297">
        <v>567</v>
      </c>
      <c r="I24" s="314">
        <f t="shared" si="44"/>
        <v>10.309090909090909</v>
      </c>
      <c r="J24" s="299">
        <f t="shared" si="45"/>
        <v>0.6775147928994083</v>
      </c>
      <c r="K24" s="297">
        <v>279</v>
      </c>
      <c r="L24" s="314">
        <f t="shared" si="46"/>
        <v>10.73076923076923</v>
      </c>
      <c r="M24" s="299">
        <f>((K24-$K$3)/$K$3)</f>
        <v>-6.6889632107023408E-2</v>
      </c>
      <c r="N24" s="297">
        <v>325</v>
      </c>
      <c r="O24" s="314">
        <f t="shared" si="48"/>
        <v>11.206896551724139</v>
      </c>
      <c r="P24" s="299">
        <f t="shared" si="49"/>
        <v>0.42543859649122806</v>
      </c>
      <c r="Q24" s="297">
        <v>378</v>
      </c>
      <c r="R24" s="314">
        <f t="shared" si="50"/>
        <v>12.6</v>
      </c>
      <c r="S24" s="299">
        <f t="shared" si="51"/>
        <v>0.33568904593639576</v>
      </c>
      <c r="T24" s="297">
        <v>344</v>
      </c>
      <c r="U24" s="314">
        <f t="shared" si="52"/>
        <v>10.75</v>
      </c>
      <c r="V24" s="299">
        <f t="shared" si="53"/>
        <v>0.11688311688311688</v>
      </c>
      <c r="W24" s="297">
        <v>287</v>
      </c>
      <c r="X24" s="314">
        <f t="shared" si="54"/>
        <v>11.038461538461538</v>
      </c>
      <c r="Y24" s="299">
        <f t="shared" si="55"/>
        <v>-0.16326530612244897</v>
      </c>
      <c r="Z24" s="297">
        <v>362</v>
      </c>
      <c r="AA24" s="314">
        <f t="shared" si="56"/>
        <v>10.647058823529411</v>
      </c>
      <c r="AB24" s="299">
        <f t="shared" si="57"/>
        <v>0.30215827338129497</v>
      </c>
      <c r="AC24" s="297">
        <v>380</v>
      </c>
      <c r="AD24" s="315">
        <f t="shared" si="58"/>
        <v>12.258064516129032</v>
      </c>
      <c r="AE24" s="295">
        <f t="shared" si="59"/>
        <v>0.12094395280235988</v>
      </c>
    </row>
    <row r="25" spans="1:34" x14ac:dyDescent="0.2">
      <c r="A25" s="210">
        <v>22</v>
      </c>
      <c r="B25" s="180">
        <v>312</v>
      </c>
      <c r="C25" s="313">
        <f t="shared" si="40"/>
        <v>10.064516129032258</v>
      </c>
      <c r="D25" s="299">
        <f t="shared" si="41"/>
        <v>8.7108013937282236E-2</v>
      </c>
      <c r="E25" s="297">
        <v>346</v>
      </c>
      <c r="F25" s="314">
        <f t="shared" si="42"/>
        <v>11.161290322580646</v>
      </c>
      <c r="G25" s="299">
        <f t="shared" si="43"/>
        <v>0.37848605577689243</v>
      </c>
      <c r="H25" s="297">
        <v>570</v>
      </c>
      <c r="I25" s="314">
        <f t="shared" si="44"/>
        <v>10.363636363636363</v>
      </c>
      <c r="J25" s="299">
        <f t="shared" si="45"/>
        <v>0.68639053254437865</v>
      </c>
      <c r="K25" s="297">
        <v>280</v>
      </c>
      <c r="L25" s="314">
        <f t="shared" si="46"/>
        <v>10.76923076923077</v>
      </c>
      <c r="M25" s="299">
        <f t="shared" si="47"/>
        <v>-6.354515050167224E-2</v>
      </c>
      <c r="N25" s="297">
        <v>328</v>
      </c>
      <c r="O25" s="314">
        <f t="shared" si="48"/>
        <v>11.310344827586206</v>
      </c>
      <c r="P25" s="299">
        <f t="shared" si="49"/>
        <v>0.43859649122807015</v>
      </c>
      <c r="Q25" s="297">
        <v>370</v>
      </c>
      <c r="R25" s="314">
        <f t="shared" si="50"/>
        <v>12.333333333333334</v>
      </c>
      <c r="S25" s="299">
        <f t="shared" si="51"/>
        <v>0.30742049469964666</v>
      </c>
      <c r="T25" s="297">
        <v>346</v>
      </c>
      <c r="U25" s="314">
        <f t="shared" si="52"/>
        <v>10.8125</v>
      </c>
      <c r="V25" s="299">
        <f t="shared" si="53"/>
        <v>0.12337662337662338</v>
      </c>
      <c r="W25" s="297">
        <v>299</v>
      </c>
      <c r="X25" s="314">
        <f t="shared" si="54"/>
        <v>11.5</v>
      </c>
      <c r="Y25" s="299">
        <f t="shared" si="55"/>
        <v>-0.1282798833819242</v>
      </c>
      <c r="Z25" s="297">
        <v>356</v>
      </c>
      <c r="AA25" s="314">
        <f t="shared" si="56"/>
        <v>10.470588235294118</v>
      </c>
      <c r="AB25" s="299">
        <f t="shared" si="57"/>
        <v>0.2805755395683453</v>
      </c>
      <c r="AC25" s="297">
        <v>382</v>
      </c>
      <c r="AD25" s="315">
        <f t="shared" si="58"/>
        <v>12.32258064516129</v>
      </c>
      <c r="AE25" s="295">
        <f t="shared" si="59"/>
        <v>0.12684365781710916</v>
      </c>
    </row>
    <row r="26" spans="1:34" x14ac:dyDescent="0.2">
      <c r="A26" s="210">
        <v>23</v>
      </c>
      <c r="B26" s="180">
        <v>313</v>
      </c>
      <c r="C26" s="313">
        <f t="shared" si="40"/>
        <v>10.096774193548388</v>
      </c>
      <c r="D26" s="299">
        <f t="shared" si="41"/>
        <v>9.0592334494773524E-2</v>
      </c>
      <c r="E26" s="297">
        <v>343</v>
      </c>
      <c r="F26" s="314">
        <f t="shared" si="42"/>
        <v>11.064516129032258</v>
      </c>
      <c r="G26" s="299">
        <f t="shared" si="43"/>
        <v>0.36653386454183268</v>
      </c>
      <c r="H26" s="297">
        <v>572</v>
      </c>
      <c r="I26" s="314">
        <f t="shared" si="44"/>
        <v>10.4</v>
      </c>
      <c r="J26" s="299">
        <f t="shared" si="45"/>
        <v>0.69230769230769229</v>
      </c>
      <c r="K26" s="297">
        <v>280</v>
      </c>
      <c r="L26" s="314">
        <f t="shared" si="46"/>
        <v>10.76923076923077</v>
      </c>
      <c r="M26" s="299">
        <f t="shared" si="47"/>
        <v>-6.354515050167224E-2</v>
      </c>
      <c r="N26" s="297">
        <v>328</v>
      </c>
      <c r="O26" s="314">
        <f t="shared" si="48"/>
        <v>11.310344827586206</v>
      </c>
      <c r="P26" s="299">
        <f t="shared" si="49"/>
        <v>0.43859649122807015</v>
      </c>
      <c r="Q26" s="297">
        <v>375</v>
      </c>
      <c r="R26" s="314">
        <f t="shared" si="50"/>
        <v>12.5</v>
      </c>
      <c r="S26" s="299">
        <f t="shared" si="51"/>
        <v>0.32508833922261482</v>
      </c>
      <c r="T26" s="297">
        <v>339</v>
      </c>
      <c r="U26" s="314">
        <f t="shared" si="52"/>
        <v>10.59375</v>
      </c>
      <c r="V26" s="299">
        <f t="shared" si="53"/>
        <v>0.10064935064935066</v>
      </c>
      <c r="W26" s="297">
        <v>303</v>
      </c>
      <c r="X26" s="314">
        <f t="shared" si="54"/>
        <v>11.653846153846153</v>
      </c>
      <c r="Y26" s="299">
        <f t="shared" si="55"/>
        <v>-0.11661807580174927</v>
      </c>
      <c r="Z26" s="297">
        <v>355</v>
      </c>
      <c r="AA26" s="314">
        <f t="shared" si="56"/>
        <v>10.441176470588236</v>
      </c>
      <c r="AB26" s="299">
        <f t="shared" si="57"/>
        <v>0.27697841726618705</v>
      </c>
      <c r="AC26" s="297">
        <v>390</v>
      </c>
      <c r="AD26" s="315">
        <f t="shared" si="58"/>
        <v>12.580645161290322</v>
      </c>
      <c r="AE26" s="295">
        <f t="shared" si="59"/>
        <v>0.15044247787610621</v>
      </c>
    </row>
    <row r="27" spans="1:34" x14ac:dyDescent="0.2">
      <c r="A27" s="210">
        <v>24</v>
      </c>
      <c r="B27" s="180">
        <v>318</v>
      </c>
      <c r="C27" s="313">
        <f t="shared" si="40"/>
        <v>10.258064516129032</v>
      </c>
      <c r="D27" s="299">
        <f t="shared" si="41"/>
        <v>0.10801393728222997</v>
      </c>
      <c r="E27" s="297">
        <v>340</v>
      </c>
      <c r="F27" s="314">
        <f t="shared" si="42"/>
        <v>10.96774193548387</v>
      </c>
      <c r="G27" s="299">
        <f t="shared" si="43"/>
        <v>0.35458167330677293</v>
      </c>
      <c r="H27" s="297">
        <v>570</v>
      </c>
      <c r="I27" s="314">
        <f t="shared" si="44"/>
        <v>10.363636363636363</v>
      </c>
      <c r="J27" s="299">
        <f t="shared" si="45"/>
        <v>0.68639053254437865</v>
      </c>
      <c r="K27" s="297">
        <v>284</v>
      </c>
      <c r="L27" s="314">
        <f t="shared" si="46"/>
        <v>10.923076923076923</v>
      </c>
      <c r="M27" s="299">
        <f t="shared" si="47"/>
        <v>-5.016722408026756E-2</v>
      </c>
      <c r="N27" s="297">
        <v>326</v>
      </c>
      <c r="O27" s="314">
        <f t="shared" si="48"/>
        <v>11.241379310344827</v>
      </c>
      <c r="P27" s="299">
        <f t="shared" si="49"/>
        <v>0.42982456140350878</v>
      </c>
      <c r="Q27" s="297">
        <v>375</v>
      </c>
      <c r="R27" s="314">
        <f t="shared" si="50"/>
        <v>12.5</v>
      </c>
      <c r="S27" s="299">
        <f t="shared" si="51"/>
        <v>0.32508833922261482</v>
      </c>
      <c r="T27" s="297">
        <v>344</v>
      </c>
      <c r="U27" s="314">
        <f t="shared" si="52"/>
        <v>10.75</v>
      </c>
      <c r="V27" s="299">
        <f t="shared" si="53"/>
        <v>0.11688311688311688</v>
      </c>
      <c r="W27" s="297">
        <v>293</v>
      </c>
      <c r="X27" s="314">
        <f t="shared" si="54"/>
        <v>11.26923076923077</v>
      </c>
      <c r="Y27" s="299">
        <f t="shared" si="55"/>
        <v>-0.1457725947521866</v>
      </c>
      <c r="Z27" s="297">
        <v>358</v>
      </c>
      <c r="AA27" s="314">
        <f t="shared" si="56"/>
        <v>10.529411764705882</v>
      </c>
      <c r="AB27" s="299">
        <f t="shared" si="57"/>
        <v>0.28776978417266186</v>
      </c>
      <c r="AC27" s="297">
        <v>396</v>
      </c>
      <c r="AD27" s="315">
        <f t="shared" si="58"/>
        <v>12.774193548387096</v>
      </c>
      <c r="AE27" s="295">
        <f t="shared" si="59"/>
        <v>0.16814159292035399</v>
      </c>
    </row>
    <row r="28" spans="1:34" x14ac:dyDescent="0.2">
      <c r="A28" s="210">
        <v>25</v>
      </c>
      <c r="B28" s="180">
        <v>318</v>
      </c>
      <c r="C28" s="313">
        <f t="shared" si="40"/>
        <v>10.258064516129032</v>
      </c>
      <c r="D28" s="299">
        <f t="shared" si="41"/>
        <v>0.10801393728222997</v>
      </c>
      <c r="E28" s="297">
        <v>339</v>
      </c>
      <c r="F28" s="314">
        <f t="shared" si="42"/>
        <v>10.935483870967742</v>
      </c>
      <c r="G28" s="299">
        <f t="shared" si="43"/>
        <v>0.35059760956175301</v>
      </c>
      <c r="H28" s="297">
        <v>569</v>
      </c>
      <c r="I28" s="314">
        <f t="shared" si="44"/>
        <v>10.345454545454546</v>
      </c>
      <c r="J28" s="299">
        <f t="shared" si="45"/>
        <v>0.68343195266272194</v>
      </c>
      <c r="K28" s="297">
        <v>283</v>
      </c>
      <c r="L28" s="314">
        <f t="shared" si="46"/>
        <v>10.884615384615385</v>
      </c>
      <c r="M28" s="299">
        <f t="shared" si="47"/>
        <v>-5.3511705685618728E-2</v>
      </c>
      <c r="N28" s="297">
        <v>324</v>
      </c>
      <c r="O28" s="314">
        <f t="shared" si="48"/>
        <v>11.172413793103448</v>
      </c>
      <c r="P28" s="299">
        <f t="shared" si="49"/>
        <v>0.42105263157894735</v>
      </c>
      <c r="Q28" s="302">
        <v>375</v>
      </c>
      <c r="R28" s="314">
        <f t="shared" si="50"/>
        <v>12.5</v>
      </c>
      <c r="S28" s="299">
        <f t="shared" si="51"/>
        <v>0.32508833922261482</v>
      </c>
      <c r="T28" s="297">
        <v>343</v>
      </c>
      <c r="U28" s="314">
        <f t="shared" si="52"/>
        <v>10.71875</v>
      </c>
      <c r="V28" s="299">
        <f t="shared" si="53"/>
        <v>0.11363636363636363</v>
      </c>
      <c r="W28" s="297">
        <v>297</v>
      </c>
      <c r="X28" s="314">
        <f t="shared" si="54"/>
        <v>11.423076923076923</v>
      </c>
      <c r="Y28" s="299">
        <f t="shared" si="55"/>
        <v>-0.13411078717201166</v>
      </c>
      <c r="Z28" s="297">
        <v>355</v>
      </c>
      <c r="AA28" s="314">
        <f t="shared" si="56"/>
        <v>10.441176470588236</v>
      </c>
      <c r="AB28" s="299">
        <f t="shared" si="57"/>
        <v>0.27697841726618705</v>
      </c>
      <c r="AC28" s="297">
        <v>392</v>
      </c>
      <c r="AD28" s="315">
        <f t="shared" si="58"/>
        <v>12.64516129032258</v>
      </c>
      <c r="AE28" s="295">
        <f t="shared" si="59"/>
        <v>0.15634218289085547</v>
      </c>
    </row>
    <row r="29" spans="1:34" x14ac:dyDescent="0.2">
      <c r="A29" s="210">
        <v>26</v>
      </c>
      <c r="B29" s="180">
        <v>315</v>
      </c>
      <c r="C29" s="313">
        <f t="shared" si="40"/>
        <v>10.161290322580646</v>
      </c>
      <c r="D29" s="299">
        <f t="shared" si="41"/>
        <v>9.7560975609756101E-2</v>
      </c>
      <c r="E29" s="297">
        <v>334</v>
      </c>
      <c r="F29" s="314">
        <f t="shared" si="42"/>
        <v>10.774193548387096</v>
      </c>
      <c r="G29" s="299">
        <f t="shared" si="43"/>
        <v>0.33067729083665337</v>
      </c>
      <c r="H29" s="297">
        <v>576</v>
      </c>
      <c r="I29" s="314">
        <f t="shared" si="44"/>
        <v>10.472727272727273</v>
      </c>
      <c r="J29" s="299">
        <f t="shared" si="45"/>
        <v>0.70414201183431957</v>
      </c>
      <c r="K29" s="297">
        <v>288</v>
      </c>
      <c r="L29" s="314">
        <f t="shared" si="46"/>
        <v>11.076923076923077</v>
      </c>
      <c r="M29" s="299">
        <f t="shared" si="47"/>
        <v>-3.678929765886288E-2</v>
      </c>
      <c r="N29" s="297">
        <v>328</v>
      </c>
      <c r="O29" s="314">
        <f t="shared" si="48"/>
        <v>11.310344827586206</v>
      </c>
      <c r="P29" s="299">
        <f t="shared" si="49"/>
        <v>0.43859649122807015</v>
      </c>
      <c r="Q29" s="297">
        <v>377</v>
      </c>
      <c r="R29" s="329">
        <f t="shared" si="50"/>
        <v>12.566666666666666</v>
      </c>
      <c r="S29" s="301">
        <f t="shared" si="51"/>
        <v>0.33215547703180209</v>
      </c>
      <c r="T29" s="297">
        <v>345</v>
      </c>
      <c r="U29" s="314">
        <f t="shared" si="52"/>
        <v>10.78125</v>
      </c>
      <c r="V29" s="299">
        <f t="shared" si="53"/>
        <v>0.12012987012987013</v>
      </c>
      <c r="W29" s="297">
        <v>296</v>
      </c>
      <c r="X29" s="314">
        <f t="shared" si="54"/>
        <v>11.384615384615385</v>
      </c>
      <c r="Y29" s="299">
        <f t="shared" si="55"/>
        <v>-0.13702623906705538</v>
      </c>
      <c r="Z29" s="297">
        <v>357</v>
      </c>
      <c r="AA29" s="314">
        <f t="shared" si="56"/>
        <v>10.5</v>
      </c>
      <c r="AB29" s="299">
        <f t="shared" si="57"/>
        <v>0.28417266187050361</v>
      </c>
      <c r="AC29" s="297">
        <v>395</v>
      </c>
      <c r="AD29" s="315">
        <f t="shared" si="58"/>
        <v>12.741935483870968</v>
      </c>
      <c r="AE29" s="295">
        <f t="shared" si="59"/>
        <v>0.16519174041297935</v>
      </c>
    </row>
    <row r="30" spans="1:34" x14ac:dyDescent="0.2">
      <c r="A30" s="210">
        <v>27</v>
      </c>
      <c r="B30" s="180">
        <v>317</v>
      </c>
      <c r="C30" s="313">
        <f t="shared" si="40"/>
        <v>10.225806451612904</v>
      </c>
      <c r="D30" s="299">
        <f t="shared" si="41"/>
        <v>0.10452961672473868</v>
      </c>
      <c r="E30" s="297">
        <v>334</v>
      </c>
      <c r="F30" s="314">
        <f t="shared" si="42"/>
        <v>10.774193548387096</v>
      </c>
      <c r="G30" s="299">
        <f t="shared" si="43"/>
        <v>0.33067729083665337</v>
      </c>
      <c r="H30" s="297">
        <v>571</v>
      </c>
      <c r="I30" s="314">
        <f t="shared" si="44"/>
        <v>10.381818181818181</v>
      </c>
      <c r="J30" s="299">
        <f t="shared" si="45"/>
        <v>0.68934911242603547</v>
      </c>
      <c r="K30" s="297">
        <v>280</v>
      </c>
      <c r="L30" s="314">
        <f t="shared" si="46"/>
        <v>10.76923076923077</v>
      </c>
      <c r="M30" s="299">
        <f t="shared" si="47"/>
        <v>-6.354515050167224E-2</v>
      </c>
      <c r="N30" s="297">
        <v>325</v>
      </c>
      <c r="O30" s="314">
        <f t="shared" si="48"/>
        <v>11.206896551724139</v>
      </c>
      <c r="P30" s="299">
        <f t="shared" si="49"/>
        <v>0.42543859649122806</v>
      </c>
      <c r="Q30" s="303">
        <v>377</v>
      </c>
      <c r="R30" s="314">
        <f t="shared" si="50"/>
        <v>12.566666666666666</v>
      </c>
      <c r="S30" s="299">
        <f t="shared" si="51"/>
        <v>0.33215547703180209</v>
      </c>
      <c r="T30" s="297">
        <v>348</v>
      </c>
      <c r="U30" s="314">
        <f t="shared" si="52"/>
        <v>10.875</v>
      </c>
      <c r="V30" s="299">
        <f t="shared" si="53"/>
        <v>0.12987012987012986</v>
      </c>
      <c r="W30" s="297">
        <v>298</v>
      </c>
      <c r="X30" s="314">
        <f t="shared" si="54"/>
        <v>11.461538461538462</v>
      </c>
      <c r="Y30" s="299">
        <f t="shared" si="55"/>
        <v>-0.13119533527696792</v>
      </c>
      <c r="Z30" s="297">
        <v>356</v>
      </c>
      <c r="AA30" s="314">
        <f t="shared" si="56"/>
        <v>10.470588235294118</v>
      </c>
      <c r="AB30" s="299">
        <f t="shared" si="57"/>
        <v>0.2805755395683453</v>
      </c>
      <c r="AC30" s="297">
        <v>399</v>
      </c>
      <c r="AD30" s="315">
        <f t="shared" si="58"/>
        <v>12.870967741935484</v>
      </c>
      <c r="AE30" s="295">
        <f t="shared" si="59"/>
        <v>0.17699115044247787</v>
      </c>
    </row>
    <row r="31" spans="1:34" x14ac:dyDescent="0.2">
      <c r="A31" s="210">
        <v>28</v>
      </c>
      <c r="B31" s="180">
        <v>310</v>
      </c>
      <c r="C31" s="313">
        <f t="shared" si="40"/>
        <v>10</v>
      </c>
      <c r="D31" s="299">
        <f t="shared" si="41"/>
        <v>8.0139372822299645E-2</v>
      </c>
      <c r="E31" s="297">
        <v>338</v>
      </c>
      <c r="F31" s="314">
        <f t="shared" si="42"/>
        <v>10.903225806451612</v>
      </c>
      <c r="G31" s="299">
        <f t="shared" si="43"/>
        <v>0.34661354581673309</v>
      </c>
      <c r="H31" s="297">
        <v>575</v>
      </c>
      <c r="I31" s="314">
        <f t="shared" si="44"/>
        <v>10.454545454545455</v>
      </c>
      <c r="J31" s="299">
        <f t="shared" si="45"/>
        <v>0.70118343195266275</v>
      </c>
      <c r="K31" s="297">
        <v>280</v>
      </c>
      <c r="L31" s="314">
        <f t="shared" si="46"/>
        <v>10.76923076923077</v>
      </c>
      <c r="M31" s="299">
        <f t="shared" si="47"/>
        <v>-6.354515050167224E-2</v>
      </c>
      <c r="N31" s="297">
        <v>331</v>
      </c>
      <c r="O31" s="314">
        <f t="shared" si="48"/>
        <v>11.413793103448276</v>
      </c>
      <c r="P31" s="299">
        <f t="shared" si="49"/>
        <v>0.4517543859649123</v>
      </c>
      <c r="Q31" s="297">
        <v>374</v>
      </c>
      <c r="R31" s="314">
        <f t="shared" si="50"/>
        <v>12.466666666666667</v>
      </c>
      <c r="S31" s="299">
        <f t="shared" si="51"/>
        <v>0.32155477031802121</v>
      </c>
      <c r="T31" s="297">
        <v>350</v>
      </c>
      <c r="U31" s="314">
        <f t="shared" si="52"/>
        <v>10.9375</v>
      </c>
      <c r="V31" s="299">
        <f t="shared" si="53"/>
        <v>0.13636363636363635</v>
      </c>
      <c r="W31" s="297">
        <v>294</v>
      </c>
      <c r="X31" s="314">
        <f t="shared" si="54"/>
        <v>11.307692307692308</v>
      </c>
      <c r="Y31" s="299">
        <f t="shared" si="55"/>
        <v>-0.14285714285714285</v>
      </c>
      <c r="Z31" s="297">
        <v>358</v>
      </c>
      <c r="AA31" s="314">
        <f t="shared" si="56"/>
        <v>10.529411764705882</v>
      </c>
      <c r="AB31" s="299">
        <f t="shared" si="57"/>
        <v>0.28776978417266186</v>
      </c>
      <c r="AC31" s="297">
        <v>395</v>
      </c>
      <c r="AD31" s="315">
        <f t="shared" si="58"/>
        <v>12.741935483870968</v>
      </c>
      <c r="AE31" s="295">
        <f t="shared" si="59"/>
        <v>0.16519174041297935</v>
      </c>
    </row>
    <row r="32" spans="1:34" x14ac:dyDescent="0.2">
      <c r="A32" s="210">
        <v>29</v>
      </c>
      <c r="B32" s="180">
        <v>310</v>
      </c>
      <c r="C32" s="313">
        <f t="shared" si="40"/>
        <v>10</v>
      </c>
      <c r="D32" s="299">
        <f t="shared" si="41"/>
        <v>8.0139372822299645E-2</v>
      </c>
      <c r="E32" s="297">
        <v>340</v>
      </c>
      <c r="F32" s="314">
        <f t="shared" si="42"/>
        <v>10.96774193548387</v>
      </c>
      <c r="G32" s="299">
        <f t="shared" si="43"/>
        <v>0.35458167330677293</v>
      </c>
      <c r="H32" s="297">
        <v>569</v>
      </c>
      <c r="I32" s="314">
        <f t="shared" si="44"/>
        <v>10.345454545454546</v>
      </c>
      <c r="J32" s="299">
        <f t="shared" si="45"/>
        <v>0.68343195266272194</v>
      </c>
      <c r="K32" s="297">
        <v>281</v>
      </c>
      <c r="L32" s="314">
        <f t="shared" si="46"/>
        <v>10.807692307692308</v>
      </c>
      <c r="M32" s="299">
        <f t="shared" si="47"/>
        <v>-6.0200668896321072E-2</v>
      </c>
      <c r="N32" s="297">
        <v>332</v>
      </c>
      <c r="O32" s="314">
        <f t="shared" si="48"/>
        <v>11.448275862068966</v>
      </c>
      <c r="P32" s="299">
        <f t="shared" si="49"/>
        <v>0.45614035087719296</v>
      </c>
      <c r="Q32" s="297">
        <v>371</v>
      </c>
      <c r="R32" s="314">
        <f t="shared" si="50"/>
        <v>12.366666666666667</v>
      </c>
      <c r="S32" s="299">
        <f t="shared" si="51"/>
        <v>0.31095406360424027</v>
      </c>
      <c r="T32" s="297">
        <v>348</v>
      </c>
      <c r="U32" s="314">
        <f t="shared" si="52"/>
        <v>10.875</v>
      </c>
      <c r="V32" s="299">
        <f t="shared" si="53"/>
        <v>0.12987012987012986</v>
      </c>
      <c r="W32" s="297">
        <v>296</v>
      </c>
      <c r="X32" s="314">
        <f t="shared" si="54"/>
        <v>11.384615384615385</v>
      </c>
      <c r="Y32" s="299">
        <f t="shared" si="55"/>
        <v>-0.13702623906705538</v>
      </c>
      <c r="Z32" s="297">
        <v>351</v>
      </c>
      <c r="AA32" s="314">
        <f t="shared" si="56"/>
        <v>10.323529411764707</v>
      </c>
      <c r="AB32" s="299">
        <f t="shared" si="57"/>
        <v>0.26258992805755393</v>
      </c>
      <c r="AC32" s="297">
        <v>395</v>
      </c>
      <c r="AD32" s="315">
        <f t="shared" si="58"/>
        <v>12.741935483870968</v>
      </c>
      <c r="AE32" s="295">
        <f t="shared" si="59"/>
        <v>0.16519174041297935</v>
      </c>
    </row>
    <row r="33" spans="1:31" x14ac:dyDescent="0.2">
      <c r="A33" s="210">
        <v>30</v>
      </c>
      <c r="B33" s="180">
        <v>308</v>
      </c>
      <c r="C33" s="313">
        <f t="shared" si="40"/>
        <v>9.935483870967742</v>
      </c>
      <c r="D33" s="299">
        <f t="shared" si="41"/>
        <v>7.3170731707317069E-2</v>
      </c>
      <c r="E33" s="297">
        <v>344</v>
      </c>
      <c r="F33" s="314">
        <f t="shared" si="42"/>
        <v>11.096774193548388</v>
      </c>
      <c r="G33" s="299">
        <f t="shared" si="43"/>
        <v>0.37051792828685259</v>
      </c>
      <c r="H33" s="297">
        <v>569</v>
      </c>
      <c r="I33" s="314">
        <f t="shared" si="44"/>
        <v>10.345454545454546</v>
      </c>
      <c r="J33" s="299">
        <f t="shared" si="45"/>
        <v>0.68343195266272194</v>
      </c>
      <c r="K33" s="297">
        <v>282</v>
      </c>
      <c r="L33" s="314">
        <f t="shared" si="46"/>
        <v>10.846153846153847</v>
      </c>
      <c r="M33" s="299">
        <f t="shared" si="47"/>
        <v>-5.6856187290969896E-2</v>
      </c>
      <c r="N33" s="297">
        <v>333</v>
      </c>
      <c r="O33" s="314">
        <f t="shared" si="48"/>
        <v>11.482758620689655</v>
      </c>
      <c r="P33" s="299">
        <f t="shared" si="49"/>
        <v>0.46052631578947367</v>
      </c>
      <c r="Q33" s="304">
        <v>374</v>
      </c>
      <c r="R33" s="314">
        <f t="shared" si="50"/>
        <v>12.466666666666667</v>
      </c>
      <c r="S33" s="299">
        <f t="shared" si="51"/>
        <v>0.32155477031802121</v>
      </c>
      <c r="T33" s="297">
        <v>352</v>
      </c>
      <c r="U33" s="314">
        <f t="shared" si="52"/>
        <v>11</v>
      </c>
      <c r="V33" s="299">
        <f t="shared" si="53"/>
        <v>0.14285714285714285</v>
      </c>
      <c r="W33" s="297">
        <v>301</v>
      </c>
      <c r="X33" s="314">
        <f t="shared" si="54"/>
        <v>11.576923076923077</v>
      </c>
      <c r="Y33" s="299">
        <f t="shared" si="55"/>
        <v>-0.12244897959183673</v>
      </c>
      <c r="Z33" s="297">
        <v>349</v>
      </c>
      <c r="AA33" s="314">
        <f t="shared" si="56"/>
        <v>10.264705882352942</v>
      </c>
      <c r="AB33" s="299">
        <f t="shared" si="57"/>
        <v>0.25539568345323743</v>
      </c>
      <c r="AC33" s="297">
        <v>397</v>
      </c>
      <c r="AD33" s="315">
        <f t="shared" si="58"/>
        <v>12.806451612903226</v>
      </c>
      <c r="AE33" s="295">
        <f t="shared" si="59"/>
        <v>0.17109144542772861</v>
      </c>
    </row>
    <row r="34" spans="1:31" x14ac:dyDescent="0.2">
      <c r="A34" s="210">
        <v>31</v>
      </c>
      <c r="B34" s="180">
        <v>302</v>
      </c>
      <c r="C34" s="313">
        <f t="shared" si="40"/>
        <v>9.741935483870968</v>
      </c>
      <c r="D34" s="299">
        <f t="shared" si="41"/>
        <v>5.2264808362369339E-2</v>
      </c>
      <c r="E34" s="297">
        <v>340</v>
      </c>
      <c r="F34" s="314">
        <f t="shared" si="42"/>
        <v>10.96774193548387</v>
      </c>
      <c r="G34" s="299">
        <f t="shared" si="43"/>
        <v>0.35458167330677293</v>
      </c>
      <c r="H34" s="297">
        <v>570</v>
      </c>
      <c r="I34" s="314">
        <f t="shared" si="44"/>
        <v>10.363636363636363</v>
      </c>
      <c r="J34" s="299">
        <f t="shared" si="45"/>
        <v>0.68639053254437865</v>
      </c>
      <c r="K34" s="297">
        <v>281</v>
      </c>
      <c r="L34" s="314">
        <f t="shared" si="46"/>
        <v>10.807692307692308</v>
      </c>
      <c r="M34" s="299">
        <f t="shared" si="47"/>
        <v>-6.0200668896321072E-2</v>
      </c>
      <c r="N34" s="297">
        <v>335</v>
      </c>
      <c r="O34" s="314">
        <f t="shared" si="48"/>
        <v>11.551724137931034</v>
      </c>
      <c r="P34" s="299">
        <f t="shared" si="49"/>
        <v>0.4692982456140351</v>
      </c>
      <c r="Q34" s="297">
        <v>373</v>
      </c>
      <c r="R34" s="314">
        <f t="shared" si="50"/>
        <v>12.433333333333334</v>
      </c>
      <c r="S34" s="299">
        <f t="shared" si="51"/>
        <v>0.31802120141342755</v>
      </c>
      <c r="T34" s="297">
        <v>344</v>
      </c>
      <c r="U34" s="314">
        <f t="shared" si="52"/>
        <v>10.75</v>
      </c>
      <c r="V34" s="299">
        <f t="shared" si="53"/>
        <v>0.11688311688311688</v>
      </c>
      <c r="W34" s="297">
        <v>306</v>
      </c>
      <c r="X34" s="314">
        <f t="shared" si="54"/>
        <v>11.76923076923077</v>
      </c>
      <c r="Y34" s="299">
        <f t="shared" si="55"/>
        <v>-0.10787172011661808</v>
      </c>
      <c r="Z34" s="297">
        <v>351</v>
      </c>
      <c r="AA34" s="314">
        <f t="shared" si="56"/>
        <v>10.323529411764707</v>
      </c>
      <c r="AB34" s="299">
        <f t="shared" si="57"/>
        <v>0.26258992805755393</v>
      </c>
      <c r="AC34" s="297">
        <v>390</v>
      </c>
      <c r="AD34" s="315">
        <f t="shared" si="58"/>
        <v>12.580645161290322</v>
      </c>
      <c r="AE34" s="295">
        <f t="shared" si="59"/>
        <v>0.15044247787610621</v>
      </c>
    </row>
    <row r="35" spans="1:31" x14ac:dyDescent="0.2">
      <c r="A35" s="210">
        <v>32</v>
      </c>
      <c r="B35" s="180">
        <v>303</v>
      </c>
      <c r="C35" s="313">
        <f t="shared" si="40"/>
        <v>9.7741935483870961</v>
      </c>
      <c r="D35" s="299">
        <f t="shared" si="41"/>
        <v>5.5749128919860627E-2</v>
      </c>
      <c r="E35" s="297">
        <v>342</v>
      </c>
      <c r="F35" s="314">
        <f t="shared" si="42"/>
        <v>11.03225806451613</v>
      </c>
      <c r="G35" s="299">
        <f t="shared" si="43"/>
        <v>0.36254980079681276</v>
      </c>
      <c r="H35" s="297">
        <v>571</v>
      </c>
      <c r="I35" s="314">
        <f t="shared" si="44"/>
        <v>10.381818181818181</v>
      </c>
      <c r="J35" s="299">
        <f t="shared" si="45"/>
        <v>0.68934911242603547</v>
      </c>
      <c r="K35" s="297">
        <v>279</v>
      </c>
      <c r="L35" s="314">
        <f t="shared" si="46"/>
        <v>10.73076923076923</v>
      </c>
      <c r="M35" s="299">
        <f t="shared" si="47"/>
        <v>-6.6889632107023408E-2</v>
      </c>
      <c r="N35" s="297">
        <v>334</v>
      </c>
      <c r="O35" s="314">
        <f t="shared" si="48"/>
        <v>11.517241379310345</v>
      </c>
      <c r="P35" s="299">
        <f t="shared" si="49"/>
        <v>0.46491228070175439</v>
      </c>
      <c r="Q35" s="297">
        <v>368</v>
      </c>
      <c r="R35" s="314">
        <f t="shared" si="50"/>
        <v>12.266666666666667</v>
      </c>
      <c r="S35" s="299">
        <f t="shared" si="51"/>
        <v>0.30035335689045939</v>
      </c>
      <c r="T35" s="297">
        <v>344</v>
      </c>
      <c r="U35" s="314">
        <f t="shared" si="52"/>
        <v>10.75</v>
      </c>
      <c r="V35" s="299">
        <f t="shared" si="53"/>
        <v>0.11688311688311688</v>
      </c>
      <c r="W35" s="297">
        <v>306</v>
      </c>
      <c r="X35" s="314">
        <f t="shared" si="54"/>
        <v>11.76923076923077</v>
      </c>
      <c r="Y35" s="299">
        <f t="shared" si="55"/>
        <v>-0.10787172011661808</v>
      </c>
      <c r="Z35" s="297">
        <v>348</v>
      </c>
      <c r="AA35" s="314">
        <f t="shared" si="56"/>
        <v>10.235294117647058</v>
      </c>
      <c r="AB35" s="299">
        <f t="shared" si="57"/>
        <v>0.25179856115107913</v>
      </c>
      <c r="AC35" s="297">
        <v>391</v>
      </c>
      <c r="AD35" s="315">
        <f t="shared" si="58"/>
        <v>12.612903225806452</v>
      </c>
      <c r="AE35" s="295">
        <f t="shared" si="59"/>
        <v>0.15339233038348082</v>
      </c>
    </row>
    <row r="36" spans="1:31" x14ac:dyDescent="0.2">
      <c r="A36" s="210">
        <v>33</v>
      </c>
      <c r="B36" s="180">
        <v>301</v>
      </c>
      <c r="C36" s="313">
        <f t="shared" si="40"/>
        <v>9.7096774193548381</v>
      </c>
      <c r="D36" s="299">
        <f t="shared" si="41"/>
        <v>4.878048780487805E-2</v>
      </c>
      <c r="E36" s="297">
        <v>340</v>
      </c>
      <c r="F36" s="314">
        <f t="shared" si="42"/>
        <v>10.96774193548387</v>
      </c>
      <c r="G36" s="299">
        <f t="shared" si="43"/>
        <v>0.35458167330677293</v>
      </c>
      <c r="H36" s="297">
        <v>575</v>
      </c>
      <c r="I36" s="314">
        <f t="shared" si="44"/>
        <v>10.454545454545455</v>
      </c>
      <c r="J36" s="299">
        <f t="shared" si="45"/>
        <v>0.70118343195266275</v>
      </c>
      <c r="K36" s="297">
        <v>277</v>
      </c>
      <c r="L36" s="314">
        <f t="shared" si="46"/>
        <v>10.653846153846153</v>
      </c>
      <c r="M36" s="299">
        <f t="shared" si="47"/>
        <v>-7.3578595317725759E-2</v>
      </c>
      <c r="N36" s="297">
        <v>328</v>
      </c>
      <c r="O36" s="314">
        <f t="shared" si="48"/>
        <v>11.310344827586206</v>
      </c>
      <c r="P36" s="299">
        <f t="shared" si="49"/>
        <v>0.43859649122807015</v>
      </c>
      <c r="Q36" s="297">
        <v>365</v>
      </c>
      <c r="R36" s="314">
        <f t="shared" si="50"/>
        <v>12.166666666666666</v>
      </c>
      <c r="S36" s="299">
        <f t="shared" si="51"/>
        <v>0.28975265017667845</v>
      </c>
      <c r="T36" s="297">
        <v>348</v>
      </c>
      <c r="U36" s="314">
        <f t="shared" si="52"/>
        <v>10.875</v>
      </c>
      <c r="V36" s="299">
        <f t="shared" si="53"/>
        <v>0.12987012987012986</v>
      </c>
      <c r="W36" s="297">
        <v>306</v>
      </c>
      <c r="X36" s="314">
        <f t="shared" si="54"/>
        <v>11.76923076923077</v>
      </c>
      <c r="Y36" s="299">
        <f t="shared" si="55"/>
        <v>-0.10787172011661808</v>
      </c>
      <c r="Z36" s="297">
        <v>342</v>
      </c>
      <c r="AA36" s="314">
        <f t="shared" si="56"/>
        <v>10.058823529411764</v>
      </c>
      <c r="AB36" s="299">
        <f t="shared" si="57"/>
        <v>0.23021582733812951</v>
      </c>
      <c r="AC36" s="297">
        <v>387</v>
      </c>
      <c r="AD36" s="315">
        <f t="shared" si="58"/>
        <v>12.483870967741936</v>
      </c>
      <c r="AE36" s="295">
        <f t="shared" si="59"/>
        <v>0.1415929203539823</v>
      </c>
    </row>
    <row r="37" spans="1:31" x14ac:dyDescent="0.2">
      <c r="A37" s="210">
        <v>34</v>
      </c>
      <c r="B37" s="180">
        <v>295</v>
      </c>
      <c r="C37" s="313">
        <f t="shared" si="40"/>
        <v>9.5161290322580641</v>
      </c>
      <c r="D37" s="299">
        <f t="shared" si="41"/>
        <v>2.7874564459930314E-2</v>
      </c>
      <c r="E37" s="297">
        <v>349</v>
      </c>
      <c r="F37" s="314">
        <f t="shared" si="42"/>
        <v>11.258064516129032</v>
      </c>
      <c r="G37" s="299">
        <f t="shared" si="43"/>
        <v>0.39043824701195218</v>
      </c>
      <c r="H37" s="297">
        <v>575</v>
      </c>
      <c r="I37" s="314">
        <f t="shared" si="44"/>
        <v>10.454545454545455</v>
      </c>
      <c r="J37" s="299">
        <f t="shared" si="45"/>
        <v>0.70118343195266275</v>
      </c>
      <c r="K37" s="297">
        <v>275</v>
      </c>
      <c r="L37" s="314">
        <f t="shared" si="46"/>
        <v>10.576923076923077</v>
      </c>
      <c r="M37" s="299">
        <f t="shared" si="47"/>
        <v>-8.0267558528428096E-2</v>
      </c>
      <c r="N37" s="297">
        <v>328</v>
      </c>
      <c r="O37" s="314">
        <f t="shared" si="48"/>
        <v>11.310344827586206</v>
      </c>
      <c r="P37" s="299">
        <f t="shared" si="49"/>
        <v>0.43859649122807015</v>
      </c>
      <c r="Q37" s="297">
        <v>358</v>
      </c>
      <c r="R37" s="314">
        <f t="shared" si="50"/>
        <v>11.933333333333334</v>
      </c>
      <c r="S37" s="299">
        <f t="shared" si="51"/>
        <v>0.26501766784452296</v>
      </c>
      <c r="T37" s="297">
        <v>344</v>
      </c>
      <c r="U37" s="314">
        <f t="shared" si="52"/>
        <v>10.75</v>
      </c>
      <c r="V37" s="299">
        <f t="shared" si="53"/>
        <v>0.11688311688311688</v>
      </c>
      <c r="W37" s="297">
        <v>304</v>
      </c>
      <c r="X37" s="314">
        <f t="shared" si="54"/>
        <v>11.692307692307692</v>
      </c>
      <c r="Y37" s="299">
        <f t="shared" si="55"/>
        <v>-0.11370262390670553</v>
      </c>
      <c r="Z37" s="297">
        <v>342</v>
      </c>
      <c r="AA37" s="314">
        <f t="shared" si="56"/>
        <v>10.058823529411764</v>
      </c>
      <c r="AB37" s="299">
        <f t="shared" si="57"/>
        <v>0.23021582733812951</v>
      </c>
      <c r="AC37" s="297">
        <v>389</v>
      </c>
      <c r="AD37" s="315">
        <f t="shared" si="58"/>
        <v>12.548387096774194</v>
      </c>
      <c r="AE37" s="295">
        <f t="shared" si="59"/>
        <v>0.14749262536873156</v>
      </c>
    </row>
    <row r="38" spans="1:31" x14ac:dyDescent="0.2">
      <c r="A38" s="210">
        <v>35</v>
      </c>
      <c r="B38" s="180">
        <v>296</v>
      </c>
      <c r="C38" s="313">
        <f t="shared" si="40"/>
        <v>9.5483870967741939</v>
      </c>
      <c r="D38" s="299">
        <f t="shared" si="41"/>
        <v>3.1358885017421602E-2</v>
      </c>
      <c r="E38" s="297">
        <v>343</v>
      </c>
      <c r="F38" s="314">
        <f t="shared" si="42"/>
        <v>11.064516129032258</v>
      </c>
      <c r="G38" s="300">
        <f t="shared" si="43"/>
        <v>0.36653386454183268</v>
      </c>
      <c r="H38" s="297">
        <v>576</v>
      </c>
      <c r="I38" s="314">
        <f t="shared" si="44"/>
        <v>10.472727272727273</v>
      </c>
      <c r="J38" s="299">
        <f t="shared" si="45"/>
        <v>0.70414201183431957</v>
      </c>
      <c r="K38" s="297">
        <v>272</v>
      </c>
      <c r="L38" s="314">
        <f t="shared" si="46"/>
        <v>10.461538461538462</v>
      </c>
      <c r="M38" s="299">
        <f t="shared" si="47"/>
        <v>-9.0301003344481601E-2</v>
      </c>
      <c r="N38" s="297">
        <v>329</v>
      </c>
      <c r="O38" s="314">
        <f t="shared" si="48"/>
        <v>11.344827586206897</v>
      </c>
      <c r="P38" s="299">
        <f t="shared" si="49"/>
        <v>0.44298245614035087</v>
      </c>
      <c r="Q38" s="297">
        <v>355</v>
      </c>
      <c r="R38" s="314">
        <f t="shared" si="50"/>
        <v>11.833333333333334</v>
      </c>
      <c r="S38" s="299">
        <f t="shared" si="51"/>
        <v>0.25441696113074203</v>
      </c>
      <c r="T38" s="297">
        <v>344</v>
      </c>
      <c r="U38" s="314">
        <f t="shared" si="52"/>
        <v>10.75</v>
      </c>
      <c r="V38" s="299">
        <f t="shared" si="53"/>
        <v>0.11688311688311688</v>
      </c>
      <c r="W38" s="297">
        <v>304</v>
      </c>
      <c r="X38" s="314">
        <f t="shared" si="54"/>
        <v>11.692307692307692</v>
      </c>
      <c r="Y38" s="299">
        <f t="shared" si="55"/>
        <v>-0.11370262390670553</v>
      </c>
      <c r="Z38" s="297">
        <v>339</v>
      </c>
      <c r="AA38" s="314">
        <f t="shared" si="56"/>
        <v>9.9705882352941178</v>
      </c>
      <c r="AB38" s="299">
        <f t="shared" si="57"/>
        <v>0.21942446043165467</v>
      </c>
      <c r="AC38" s="297">
        <v>386</v>
      </c>
      <c r="AD38" s="315">
        <f t="shared" si="58"/>
        <v>12.451612903225806</v>
      </c>
      <c r="AE38" s="295">
        <f t="shared" si="59"/>
        <v>0.13864306784660768</v>
      </c>
    </row>
    <row r="39" spans="1:31" x14ac:dyDescent="0.2">
      <c r="A39" s="210">
        <v>36</v>
      </c>
      <c r="B39" s="180"/>
      <c r="C39" s="310"/>
      <c r="D39" s="300"/>
      <c r="E39" s="297"/>
      <c r="F39" s="312"/>
      <c r="G39" s="300"/>
      <c r="H39" s="297"/>
      <c r="I39" s="312"/>
      <c r="J39" s="299"/>
      <c r="K39" s="297"/>
      <c r="L39" s="314"/>
      <c r="M39" s="299"/>
      <c r="N39" s="297"/>
      <c r="O39" s="314"/>
      <c r="P39" s="299"/>
      <c r="Q39" s="297"/>
      <c r="R39" s="312"/>
      <c r="S39" s="299"/>
      <c r="T39" s="297"/>
      <c r="U39" s="312"/>
      <c r="V39" s="299"/>
      <c r="W39" s="297"/>
      <c r="X39" s="312"/>
      <c r="Y39" s="299"/>
      <c r="Z39" s="297"/>
      <c r="AA39" s="312"/>
      <c r="AB39" s="299"/>
      <c r="AC39" s="297"/>
      <c r="AD39" s="297"/>
      <c r="AE39" s="295"/>
    </row>
    <row r="41" spans="1:31" ht="15" x14ac:dyDescent="0.25">
      <c r="A41" s="288" t="s">
        <v>420</v>
      </c>
      <c r="B41" s="500">
        <f>Punteggio!B39/'Bonus-Malus'!AH10</f>
        <v>0.59072816670568951</v>
      </c>
      <c r="C41" s="500"/>
      <c r="D41" s="500"/>
      <c r="E41" s="500">
        <f>Punteggio!D39/'Bonus-Malus'!AH2</f>
        <v>0.56945201002287826</v>
      </c>
      <c r="F41" s="500"/>
      <c r="G41" s="500"/>
      <c r="H41" s="500">
        <f>Punteggio!F39/'Bonus-Malus'!AH11</f>
        <v>0.54172281538302058</v>
      </c>
      <c r="I41" s="500"/>
      <c r="J41" s="500"/>
      <c r="K41" s="500">
        <f>Punteggio!H39/'Bonus-Malus'!AH3</f>
        <v>0.65886067622681221</v>
      </c>
      <c r="L41" s="500"/>
      <c r="M41" s="500"/>
      <c r="N41" s="500">
        <f>Punteggio!J39/'Bonus-Malus'!AH4</f>
        <v>0.68109281246010467</v>
      </c>
      <c r="O41" s="500"/>
      <c r="P41" s="500"/>
      <c r="Q41" s="500">
        <f>Punteggio!L39/'Bonus-Malus'!AH5</f>
        <v>0.54455869751499575</v>
      </c>
      <c r="R41" s="500"/>
      <c r="S41" s="500"/>
      <c r="T41" s="500">
        <f>Punteggio!N39/'Bonus-Malus'!AH7</f>
        <v>0.62063168007685843</v>
      </c>
      <c r="U41" s="500"/>
      <c r="V41" s="500"/>
      <c r="W41" s="500">
        <f>Punteggio!P39/'Bonus-Malus'!AH6</f>
        <v>0.62835202340321794</v>
      </c>
      <c r="X41" s="500"/>
      <c r="Y41" s="500"/>
      <c r="Z41" s="500">
        <f>Punteggio!R39/'Bonus-Malus'!AH8</f>
        <v>0.64229896647340556</v>
      </c>
      <c r="AA41" s="500"/>
      <c r="AB41" s="500"/>
      <c r="AC41" s="500">
        <f>Punteggio!T39/'Bonus-Malus'!AH9</f>
        <v>0.48175856654659649</v>
      </c>
      <c r="AD41" s="500"/>
      <c r="AE41" s="500"/>
    </row>
    <row r="42" spans="1:31" ht="15" x14ac:dyDescent="0.25">
      <c r="A42" s="288" t="s">
        <v>447</v>
      </c>
      <c r="B42" s="506">
        <v>31</v>
      </c>
      <c r="C42" s="507"/>
      <c r="D42" s="508"/>
      <c r="E42" s="506">
        <v>31</v>
      </c>
      <c r="F42" s="507"/>
      <c r="G42" s="508"/>
      <c r="H42" s="506">
        <v>55</v>
      </c>
      <c r="I42" s="507"/>
      <c r="J42" s="508"/>
      <c r="K42" s="506">
        <v>26</v>
      </c>
      <c r="L42" s="507"/>
      <c r="M42" s="508"/>
      <c r="N42" s="506">
        <v>29</v>
      </c>
      <c r="O42" s="507"/>
      <c r="P42" s="508"/>
      <c r="Q42" s="506">
        <v>30</v>
      </c>
      <c r="R42" s="507"/>
      <c r="S42" s="508"/>
      <c r="T42" s="506">
        <v>32</v>
      </c>
      <c r="U42" s="507"/>
      <c r="V42" s="508"/>
      <c r="W42" s="506">
        <v>26</v>
      </c>
      <c r="X42" s="507"/>
      <c r="Y42" s="508"/>
      <c r="Z42" s="506">
        <v>34</v>
      </c>
      <c r="AA42" s="507"/>
      <c r="AB42" s="508"/>
      <c r="AC42" s="506">
        <v>31</v>
      </c>
      <c r="AD42" s="507"/>
      <c r="AE42" s="508"/>
    </row>
    <row r="79" spans="1:31" ht="15" x14ac:dyDescent="0.25">
      <c r="A79" s="288" t="s">
        <v>448</v>
      </c>
      <c r="B79" s="509">
        <f>INDEX(D3:D39,MATCH('RAW DATA andamento'!$B$57,'Valore Rosa'!$A$3:$A$39,0))</f>
        <v>3.1358885017421602E-2</v>
      </c>
      <c r="C79" s="503"/>
      <c r="D79" s="504"/>
      <c r="E79" s="502">
        <f>INDEX(G3:G39,MATCH('RAW DATA andamento'!$B$57,'Valore Rosa'!$A$3:$A$39,0))</f>
        <v>0.36653386454183268</v>
      </c>
      <c r="F79" s="503"/>
      <c r="G79" s="504"/>
      <c r="H79" s="502">
        <f>INDEX(J3:J39,MATCH('RAW DATA andamento'!$B$57,'Valore Rosa'!$A$3:$A$39,0))</f>
        <v>0.70414201183431957</v>
      </c>
      <c r="I79" s="503"/>
      <c r="J79" s="504"/>
      <c r="K79" s="502">
        <f>INDEX(M3:M39,MATCH('RAW DATA andamento'!$B$57,'Valore Rosa'!$A$3:$A$39,0))</f>
        <v>-9.0301003344481601E-2</v>
      </c>
      <c r="L79" s="503"/>
      <c r="M79" s="504"/>
      <c r="N79" s="502">
        <f>INDEX(P3:P39,MATCH('RAW DATA andamento'!$B$57,'Valore Rosa'!$A$3:$A$39,0))</f>
        <v>0.44298245614035087</v>
      </c>
      <c r="O79" s="503"/>
      <c r="P79" s="504"/>
      <c r="Q79" s="502">
        <f>INDEX(S3:S39,MATCH('RAW DATA andamento'!$B$57,'Valore Rosa'!$A$3:$A$39,0))</f>
        <v>0.25441696113074203</v>
      </c>
      <c r="R79" s="503"/>
      <c r="S79" s="504"/>
      <c r="T79" s="502">
        <f>INDEX(V3:V39,MATCH('RAW DATA andamento'!$B$57,'Valore Rosa'!$A$3:$A$39,0))</f>
        <v>0.11688311688311688</v>
      </c>
      <c r="U79" s="503"/>
      <c r="V79" s="504"/>
      <c r="W79" s="502">
        <f>INDEX(Y3:Y39,MATCH('RAW DATA andamento'!$B$57,'Valore Rosa'!$A$3:$A$39,0))</f>
        <v>-0.11370262390670553</v>
      </c>
      <c r="X79" s="503"/>
      <c r="Y79" s="504"/>
      <c r="Z79" s="502">
        <f>INDEX(AB3:AB39,MATCH('RAW DATA andamento'!$B$57,'Valore Rosa'!$A$3:$A$39,0))</f>
        <v>0.21942446043165467</v>
      </c>
      <c r="AA79" s="503"/>
      <c r="AB79" s="504"/>
      <c r="AC79" s="503">
        <f>INDEX(AE3:AE39,MATCH('RAW DATA andamento'!$B$57,'Valore Rosa'!$A$3:$A$39,0))</f>
        <v>0.13864306784660768</v>
      </c>
      <c r="AD79" s="503"/>
      <c r="AE79" s="505"/>
    </row>
  </sheetData>
  <mergeCells count="40">
    <mergeCell ref="B42:D42"/>
    <mergeCell ref="E42:G42"/>
    <mergeCell ref="H42:J42"/>
    <mergeCell ref="B79:D79"/>
    <mergeCell ref="E79:G79"/>
    <mergeCell ref="H79:J79"/>
    <mergeCell ref="K79:M79"/>
    <mergeCell ref="N79:P79"/>
    <mergeCell ref="Q79:S79"/>
    <mergeCell ref="T1:V1"/>
    <mergeCell ref="W1:Y1"/>
    <mergeCell ref="K42:M42"/>
    <mergeCell ref="N42:P42"/>
    <mergeCell ref="Q42:S42"/>
    <mergeCell ref="T42:V42"/>
    <mergeCell ref="W42:Y42"/>
    <mergeCell ref="Z1:AB1"/>
    <mergeCell ref="AC1:AE1"/>
    <mergeCell ref="Q41:S41"/>
    <mergeCell ref="Q1:S1"/>
    <mergeCell ref="T79:V79"/>
    <mergeCell ref="W79:Y79"/>
    <mergeCell ref="Z79:AB79"/>
    <mergeCell ref="AC79:AE79"/>
    <mergeCell ref="T41:V41"/>
    <mergeCell ref="W41:Y41"/>
    <mergeCell ref="Z41:AB41"/>
    <mergeCell ref="AC41:AE41"/>
    <mergeCell ref="Z42:AB42"/>
    <mergeCell ref="AC42:AE42"/>
    <mergeCell ref="B41:D41"/>
    <mergeCell ref="E41:G41"/>
    <mergeCell ref="H41:J41"/>
    <mergeCell ref="K41:M41"/>
    <mergeCell ref="N41:P41"/>
    <mergeCell ref="B1:D1"/>
    <mergeCell ref="E1:G1"/>
    <mergeCell ref="H1:J1"/>
    <mergeCell ref="K1:M1"/>
    <mergeCell ref="N1:P1"/>
  </mergeCell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"/>
  <sheetViews>
    <sheetView zoomScale="110" zoomScaleNormal="110" workbookViewId="0">
      <selection activeCell="G21" sqref="G21"/>
    </sheetView>
  </sheetViews>
  <sheetFormatPr defaultRowHeight="14.25" x14ac:dyDescent="0.2"/>
  <cols>
    <col min="1" max="1" width="17.25" bestFit="1" customWidth="1"/>
    <col min="2" max="2" width="16.25" bestFit="1" customWidth="1"/>
    <col min="3" max="3" width="13.75" bestFit="1" customWidth="1"/>
    <col min="4" max="4" width="11.375" bestFit="1" customWidth="1"/>
    <col min="5" max="5" width="19.125" bestFit="1" customWidth="1"/>
    <col min="6" max="6" width="11.875" bestFit="1" customWidth="1"/>
    <col min="7" max="7" width="14.5" bestFit="1" customWidth="1"/>
    <col min="8" max="8" width="13" bestFit="1" customWidth="1"/>
    <col min="9" max="9" width="10.375" bestFit="1" customWidth="1"/>
    <col min="10" max="10" width="11.625" bestFit="1" customWidth="1"/>
    <col min="11" max="11" width="10.625" bestFit="1" customWidth="1"/>
    <col min="12" max="12" width="15.5" bestFit="1" customWidth="1"/>
  </cols>
  <sheetData>
    <row r="1" spans="1:12" ht="15" x14ac:dyDescent="0.25">
      <c r="A1" s="107" t="s">
        <v>322</v>
      </c>
      <c r="B1" s="107" t="s">
        <v>349</v>
      </c>
      <c r="C1" s="107" t="s">
        <v>350</v>
      </c>
      <c r="D1" s="107" t="s">
        <v>351</v>
      </c>
      <c r="E1" s="107" t="s">
        <v>352</v>
      </c>
      <c r="F1" s="107" t="s">
        <v>353</v>
      </c>
      <c r="G1" s="107" t="s">
        <v>354</v>
      </c>
      <c r="H1" s="107" t="s">
        <v>355</v>
      </c>
      <c r="I1" s="107" t="s">
        <v>356</v>
      </c>
      <c r="J1" s="107" t="s">
        <v>333</v>
      </c>
      <c r="K1" s="107" t="s">
        <v>357</v>
      </c>
      <c r="L1" s="194" t="s">
        <v>282</v>
      </c>
    </row>
    <row r="2" spans="1:12" ht="15" x14ac:dyDescent="0.2">
      <c r="A2" s="195" t="s">
        <v>7</v>
      </c>
      <c r="B2" s="196">
        <v>322</v>
      </c>
      <c r="C2" s="197">
        <v>133</v>
      </c>
      <c r="D2" s="198">
        <v>0.41304347826086957</v>
      </c>
      <c r="E2" s="197">
        <v>72</v>
      </c>
      <c r="F2" s="198">
        <v>0.2236024844720497</v>
      </c>
      <c r="G2" s="197">
        <v>117</v>
      </c>
      <c r="H2" s="198">
        <v>0.36335403726708076</v>
      </c>
      <c r="I2" s="197">
        <v>623</v>
      </c>
      <c r="J2" s="196">
        <v>578</v>
      </c>
      <c r="K2" s="197">
        <v>45</v>
      </c>
      <c r="L2" s="199">
        <v>23913.5</v>
      </c>
    </row>
    <row r="3" spans="1:12" ht="15" x14ac:dyDescent="0.2">
      <c r="A3" s="195" t="s">
        <v>9</v>
      </c>
      <c r="B3" s="196">
        <v>322</v>
      </c>
      <c r="C3" s="197">
        <v>122</v>
      </c>
      <c r="D3" s="198">
        <v>0.37888198757763975</v>
      </c>
      <c r="E3" s="197">
        <v>78</v>
      </c>
      <c r="F3" s="198">
        <v>0.24223602484472051</v>
      </c>
      <c r="G3" s="197">
        <v>122</v>
      </c>
      <c r="H3" s="198">
        <v>0.37888198757763975</v>
      </c>
      <c r="I3" s="197">
        <v>562</v>
      </c>
      <c r="J3" s="196">
        <v>546</v>
      </c>
      <c r="K3" s="197">
        <v>16</v>
      </c>
      <c r="L3" s="199">
        <v>23562</v>
      </c>
    </row>
    <row r="4" spans="1:12" ht="15" x14ac:dyDescent="0.2">
      <c r="A4" s="195" t="s">
        <v>10</v>
      </c>
      <c r="B4" s="196">
        <v>322</v>
      </c>
      <c r="C4" s="197">
        <v>134</v>
      </c>
      <c r="D4" s="198">
        <v>0.41614906832298137</v>
      </c>
      <c r="E4" s="197">
        <v>64</v>
      </c>
      <c r="F4" s="198">
        <v>0.19875776397515527</v>
      </c>
      <c r="G4" s="197">
        <v>124</v>
      </c>
      <c r="H4" s="198">
        <v>0.38509316770186336</v>
      </c>
      <c r="I4" s="197">
        <v>625</v>
      </c>
      <c r="J4" s="196">
        <v>593</v>
      </c>
      <c r="K4" s="197">
        <v>32</v>
      </c>
      <c r="L4" s="199">
        <v>23904.5</v>
      </c>
    </row>
    <row r="5" spans="1:12" ht="15" x14ac:dyDescent="0.2">
      <c r="A5" s="195" t="s">
        <v>274</v>
      </c>
      <c r="B5" s="196">
        <v>322</v>
      </c>
      <c r="C5" s="197">
        <v>120</v>
      </c>
      <c r="D5" s="198">
        <v>0.37267080745341613</v>
      </c>
      <c r="E5" s="197">
        <v>57</v>
      </c>
      <c r="F5" s="198">
        <v>0.17701863354037267</v>
      </c>
      <c r="G5" s="197">
        <v>145</v>
      </c>
      <c r="H5" s="198">
        <v>0.4503105590062112</v>
      </c>
      <c r="I5" s="197">
        <v>527</v>
      </c>
      <c r="J5" s="196">
        <v>591</v>
      </c>
      <c r="K5" s="197">
        <v>-64</v>
      </c>
      <c r="L5" s="199">
        <v>23376</v>
      </c>
    </row>
    <row r="6" spans="1:12" ht="15" x14ac:dyDescent="0.2">
      <c r="A6" s="195" t="s">
        <v>272</v>
      </c>
      <c r="B6" s="196">
        <v>322</v>
      </c>
      <c r="C6" s="197">
        <v>113</v>
      </c>
      <c r="D6" s="198">
        <v>0.35093167701863354</v>
      </c>
      <c r="E6" s="197">
        <v>83</v>
      </c>
      <c r="F6" s="198">
        <v>0.25776397515527949</v>
      </c>
      <c r="G6" s="197">
        <v>126</v>
      </c>
      <c r="H6" s="198">
        <v>0.39130434782608697</v>
      </c>
      <c r="I6" s="197">
        <v>570</v>
      </c>
      <c r="J6" s="196">
        <v>602</v>
      </c>
      <c r="K6" s="197">
        <v>-32</v>
      </c>
      <c r="L6" s="199">
        <v>23606.5</v>
      </c>
    </row>
    <row r="7" spans="1:12" ht="15" x14ac:dyDescent="0.2">
      <c r="A7" s="195" t="s">
        <v>313</v>
      </c>
      <c r="B7" s="196">
        <v>250</v>
      </c>
      <c r="C7" s="197">
        <v>101</v>
      </c>
      <c r="D7" s="198">
        <v>0.40400000000000003</v>
      </c>
      <c r="E7" s="200">
        <v>61</v>
      </c>
      <c r="F7" s="198">
        <v>0.24399999999999999</v>
      </c>
      <c r="G7" s="197">
        <v>88</v>
      </c>
      <c r="H7" s="198">
        <v>0.35199999999999998</v>
      </c>
      <c r="I7" s="197">
        <v>464</v>
      </c>
      <c r="J7" s="196">
        <v>425</v>
      </c>
      <c r="K7" s="197">
        <v>39</v>
      </c>
      <c r="L7" s="199">
        <v>18399.5</v>
      </c>
    </row>
    <row r="8" spans="1:12" ht="15" x14ac:dyDescent="0.2">
      <c r="A8" s="195" t="s">
        <v>273</v>
      </c>
      <c r="B8" s="196">
        <v>322</v>
      </c>
      <c r="C8" s="197">
        <v>121</v>
      </c>
      <c r="D8" s="198">
        <v>0.37577639751552794</v>
      </c>
      <c r="E8" s="197">
        <v>70</v>
      </c>
      <c r="F8" s="198">
        <v>0.21739130434782608</v>
      </c>
      <c r="G8" s="197">
        <v>131</v>
      </c>
      <c r="H8" s="198">
        <v>0.40683229813664595</v>
      </c>
      <c r="I8" s="197">
        <v>549</v>
      </c>
      <c r="J8" s="196">
        <v>559</v>
      </c>
      <c r="K8" s="197">
        <v>-10</v>
      </c>
      <c r="L8" s="199">
        <v>23431</v>
      </c>
    </row>
    <row r="9" spans="1:12" ht="15" x14ac:dyDescent="0.2">
      <c r="A9" s="195" t="s">
        <v>13</v>
      </c>
      <c r="B9" s="196">
        <v>322</v>
      </c>
      <c r="C9" s="197">
        <v>132</v>
      </c>
      <c r="D9" s="198">
        <v>0.40993788819875776</v>
      </c>
      <c r="E9" s="197">
        <v>71</v>
      </c>
      <c r="F9" s="198">
        <v>0.22049689440993789</v>
      </c>
      <c r="G9" s="197">
        <v>119</v>
      </c>
      <c r="H9" s="198">
        <v>0.36956521739130432</v>
      </c>
      <c r="I9" s="197">
        <v>574</v>
      </c>
      <c r="J9" s="196">
        <v>568</v>
      </c>
      <c r="K9" s="197">
        <v>6</v>
      </c>
      <c r="L9" s="199">
        <v>23550</v>
      </c>
    </row>
    <row r="10" spans="1:12" ht="15" x14ac:dyDescent="0.2">
      <c r="A10" s="195" t="s">
        <v>312</v>
      </c>
      <c r="B10" s="196">
        <v>250</v>
      </c>
      <c r="C10" s="197">
        <v>104</v>
      </c>
      <c r="D10" s="198">
        <v>0.41599999999999998</v>
      </c>
      <c r="E10" s="197">
        <v>55</v>
      </c>
      <c r="F10" s="198">
        <v>0.22</v>
      </c>
      <c r="G10" s="197">
        <v>91</v>
      </c>
      <c r="H10" s="198">
        <v>0.36399999999999999</v>
      </c>
      <c r="I10" s="197">
        <v>430</v>
      </c>
      <c r="J10" s="196">
        <v>420</v>
      </c>
      <c r="K10" s="197">
        <v>10</v>
      </c>
      <c r="L10" s="199">
        <v>18213</v>
      </c>
    </row>
    <row r="11" spans="1:12" ht="15" x14ac:dyDescent="0.2">
      <c r="A11" s="195" t="s">
        <v>304</v>
      </c>
      <c r="B11" s="196">
        <v>322</v>
      </c>
      <c r="C11" s="197">
        <v>126</v>
      </c>
      <c r="D11" s="198">
        <v>0.39130434782608697</v>
      </c>
      <c r="E11" s="197">
        <v>79</v>
      </c>
      <c r="F11" s="198">
        <v>0.24534161490683229</v>
      </c>
      <c r="G11" s="197">
        <v>117</v>
      </c>
      <c r="H11" s="198">
        <v>0.36335403726708076</v>
      </c>
      <c r="I11" s="197">
        <v>600</v>
      </c>
      <c r="J11" s="196">
        <v>583</v>
      </c>
      <c r="K11" s="197">
        <v>17</v>
      </c>
      <c r="L11" s="199">
        <v>23802</v>
      </c>
    </row>
  </sheetData>
  <autoFilter ref="A1:L1" xr:uid="{00000000-0009-0000-0000-00000A000000}">
    <sortState ref="A2:L11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8"/>
  <sheetViews>
    <sheetView zoomScale="110" zoomScaleNormal="110" workbookViewId="0">
      <pane xSplit="1" topLeftCell="B1" activePane="topRight" state="frozen"/>
      <selection pane="topRight" activeCell="A6" sqref="A6"/>
    </sheetView>
  </sheetViews>
  <sheetFormatPr defaultRowHeight="14.25" x14ac:dyDescent="0.2"/>
  <cols>
    <col min="1" max="1" width="17.25" bestFit="1" customWidth="1"/>
    <col min="2" max="2" width="13.5" bestFit="1" customWidth="1"/>
    <col min="3" max="3" width="7.875" bestFit="1" customWidth="1"/>
    <col min="4" max="4" width="9.625" bestFit="1" customWidth="1"/>
    <col min="5" max="5" width="7.75" bestFit="1" customWidth="1"/>
    <col min="6" max="6" width="14.125" bestFit="1" customWidth="1"/>
    <col min="7" max="7" width="7.875" bestFit="1" customWidth="1"/>
    <col min="8" max="8" width="9.625" bestFit="1" customWidth="1"/>
    <col min="9" max="9" width="7.75" bestFit="1" customWidth="1"/>
    <col min="10" max="10" width="16.5" bestFit="1" customWidth="1"/>
    <col min="11" max="11" width="14.75" bestFit="1" customWidth="1"/>
    <col min="12" max="12" width="16" bestFit="1" customWidth="1"/>
    <col min="13" max="13" width="14.125" bestFit="1" customWidth="1"/>
    <col min="14" max="14" width="13.625" bestFit="1" customWidth="1"/>
    <col min="15" max="15" width="15" bestFit="1" customWidth="1"/>
    <col min="16" max="16" width="11.625" bestFit="1" customWidth="1"/>
    <col min="17" max="17" width="16.625" bestFit="1" customWidth="1"/>
    <col min="18" max="18" width="18.875" bestFit="1" customWidth="1"/>
    <col min="19" max="19" width="15.125" bestFit="1" customWidth="1"/>
    <col min="20" max="20" width="16.5" bestFit="1" customWidth="1"/>
    <col min="21" max="21" width="14" bestFit="1" customWidth="1"/>
    <col min="22" max="22" width="22.625" bestFit="1" customWidth="1"/>
    <col min="23" max="23" width="21.375" bestFit="1" customWidth="1"/>
    <col min="24" max="24" width="19.875" bestFit="1" customWidth="1"/>
    <col min="25" max="25" width="19.375" bestFit="1" customWidth="1"/>
    <col min="26" max="26" width="14.5" bestFit="1" customWidth="1"/>
  </cols>
  <sheetData>
    <row r="1" spans="1:26" ht="15" x14ac:dyDescent="0.25">
      <c r="A1" s="166" t="s">
        <v>322</v>
      </c>
      <c r="B1" s="167" t="s">
        <v>323</v>
      </c>
      <c r="C1" s="167" t="s">
        <v>324</v>
      </c>
      <c r="D1" s="167" t="s">
        <v>326</v>
      </c>
      <c r="E1" s="167" t="s">
        <v>327</v>
      </c>
      <c r="F1" s="169" t="s">
        <v>328</v>
      </c>
      <c r="G1" s="169" t="s">
        <v>324</v>
      </c>
      <c r="H1" s="169" t="s">
        <v>326</v>
      </c>
      <c r="I1" s="169" t="s">
        <v>327</v>
      </c>
      <c r="J1" s="171" t="s">
        <v>329</v>
      </c>
      <c r="K1" s="171" t="s">
        <v>330</v>
      </c>
      <c r="L1" s="172" t="s">
        <v>331</v>
      </c>
      <c r="M1" s="173" t="s">
        <v>332</v>
      </c>
      <c r="N1" s="174" t="s">
        <v>333</v>
      </c>
      <c r="O1" s="174" t="s">
        <v>334</v>
      </c>
      <c r="P1" s="171" t="s">
        <v>335</v>
      </c>
      <c r="Q1" s="175" t="s">
        <v>336</v>
      </c>
      <c r="R1" s="175" t="s">
        <v>337</v>
      </c>
      <c r="S1" s="176" t="s">
        <v>338</v>
      </c>
      <c r="T1" s="176" t="s">
        <v>339</v>
      </c>
      <c r="U1" s="176" t="s">
        <v>340</v>
      </c>
      <c r="V1" s="187" t="s">
        <v>341</v>
      </c>
      <c r="W1" s="187" t="s">
        <v>342</v>
      </c>
      <c r="X1" s="188" t="s">
        <v>343</v>
      </c>
      <c r="Y1" s="188" t="s">
        <v>344</v>
      </c>
      <c r="Z1" s="189" t="s">
        <v>346</v>
      </c>
    </row>
    <row r="2" spans="1:26" ht="15" x14ac:dyDescent="0.25">
      <c r="A2" s="166" t="s">
        <v>7</v>
      </c>
      <c r="B2" s="167">
        <v>470</v>
      </c>
      <c r="C2" s="167">
        <v>65</v>
      </c>
      <c r="D2" s="167">
        <v>127</v>
      </c>
      <c r="E2" s="167">
        <v>278</v>
      </c>
      <c r="F2" s="169">
        <v>273</v>
      </c>
      <c r="G2" s="169">
        <v>72</v>
      </c>
      <c r="H2" s="169">
        <v>118</v>
      </c>
      <c r="I2" s="169">
        <v>83</v>
      </c>
      <c r="J2" s="171">
        <v>28</v>
      </c>
      <c r="K2" s="171">
        <v>142</v>
      </c>
      <c r="L2" s="172">
        <v>371</v>
      </c>
      <c r="M2" s="173">
        <v>18</v>
      </c>
      <c r="N2" s="174">
        <v>293</v>
      </c>
      <c r="O2" s="174">
        <v>101</v>
      </c>
      <c r="P2" s="171">
        <v>8</v>
      </c>
      <c r="Q2" s="175">
        <v>18</v>
      </c>
      <c r="R2" s="175">
        <v>15</v>
      </c>
      <c r="S2" s="176">
        <v>82</v>
      </c>
      <c r="T2" s="176">
        <v>24</v>
      </c>
      <c r="U2" s="176">
        <v>9</v>
      </c>
      <c r="V2" s="187">
        <v>207</v>
      </c>
      <c r="W2" s="187">
        <v>233</v>
      </c>
      <c r="X2" s="188">
        <v>1835.5</v>
      </c>
      <c r="Y2" s="188">
        <v>517.5</v>
      </c>
      <c r="Z2" s="201">
        <v>33271.5</v>
      </c>
    </row>
    <row r="3" spans="1:26" ht="15" x14ac:dyDescent="0.25">
      <c r="A3" s="166" t="s">
        <v>9</v>
      </c>
      <c r="B3" s="167">
        <v>455</v>
      </c>
      <c r="C3" s="167">
        <v>53</v>
      </c>
      <c r="D3" s="167">
        <v>143</v>
      </c>
      <c r="E3" s="167">
        <v>259</v>
      </c>
      <c r="F3" s="169">
        <v>253</v>
      </c>
      <c r="G3" s="169">
        <v>56</v>
      </c>
      <c r="H3" s="169">
        <v>103</v>
      </c>
      <c r="I3" s="169">
        <v>94</v>
      </c>
      <c r="J3" s="171">
        <v>33</v>
      </c>
      <c r="K3" s="171">
        <v>133</v>
      </c>
      <c r="L3" s="172">
        <v>380</v>
      </c>
      <c r="M3" s="173">
        <v>24</v>
      </c>
      <c r="N3" s="174">
        <v>272</v>
      </c>
      <c r="O3" s="174">
        <v>101</v>
      </c>
      <c r="P3" s="171">
        <v>6</v>
      </c>
      <c r="Q3" s="175">
        <v>26</v>
      </c>
      <c r="R3" s="175">
        <v>10</v>
      </c>
      <c r="S3" s="176">
        <v>42</v>
      </c>
      <c r="T3" s="176">
        <v>13</v>
      </c>
      <c r="U3" s="176">
        <v>6</v>
      </c>
      <c r="V3" s="187">
        <v>97</v>
      </c>
      <c r="W3" s="187">
        <v>104</v>
      </c>
      <c r="X3" s="188">
        <v>1750.5</v>
      </c>
      <c r="Y3" s="188">
        <v>474.5</v>
      </c>
      <c r="Z3" s="201">
        <v>33811.5</v>
      </c>
    </row>
    <row r="4" spans="1:26" ht="15" x14ac:dyDescent="0.25">
      <c r="A4" s="166" t="s">
        <v>10</v>
      </c>
      <c r="B4" s="167">
        <v>505</v>
      </c>
      <c r="C4" s="167">
        <v>62</v>
      </c>
      <c r="D4" s="167">
        <v>159</v>
      </c>
      <c r="E4" s="167">
        <v>284</v>
      </c>
      <c r="F4" s="169">
        <v>263</v>
      </c>
      <c r="G4" s="169">
        <v>72</v>
      </c>
      <c r="H4" s="169">
        <v>112</v>
      </c>
      <c r="I4" s="169">
        <v>79</v>
      </c>
      <c r="J4" s="171">
        <v>32</v>
      </c>
      <c r="K4" s="171">
        <v>143</v>
      </c>
      <c r="L4" s="172">
        <v>426</v>
      </c>
      <c r="M4" s="173">
        <v>22</v>
      </c>
      <c r="N4" s="174">
        <v>307</v>
      </c>
      <c r="O4" s="174">
        <v>68</v>
      </c>
      <c r="P4" s="171">
        <v>7</v>
      </c>
      <c r="Q4" s="175">
        <v>14</v>
      </c>
      <c r="R4" s="175">
        <v>7</v>
      </c>
      <c r="S4" s="176">
        <v>84</v>
      </c>
      <c r="T4" s="176">
        <v>18</v>
      </c>
      <c r="U4" s="176">
        <v>3</v>
      </c>
      <c r="V4" s="187">
        <v>119</v>
      </c>
      <c r="W4" s="187">
        <v>170</v>
      </c>
      <c r="X4" s="188">
        <v>1848.5</v>
      </c>
      <c r="Y4" s="188">
        <v>539.5</v>
      </c>
      <c r="Z4" s="201">
        <v>32999.5</v>
      </c>
    </row>
    <row r="5" spans="1:26" ht="15" x14ac:dyDescent="0.25">
      <c r="A5" s="166" t="s">
        <v>274</v>
      </c>
      <c r="B5" s="167">
        <v>397</v>
      </c>
      <c r="C5" s="167">
        <v>43</v>
      </c>
      <c r="D5" s="167">
        <v>130</v>
      </c>
      <c r="E5" s="167">
        <v>224</v>
      </c>
      <c r="F5" s="169">
        <v>222</v>
      </c>
      <c r="G5" s="169">
        <v>43</v>
      </c>
      <c r="H5" s="169">
        <v>103</v>
      </c>
      <c r="I5" s="169">
        <v>76</v>
      </c>
      <c r="J5" s="171">
        <v>28</v>
      </c>
      <c r="K5" s="171">
        <v>111</v>
      </c>
      <c r="L5" s="172">
        <v>410</v>
      </c>
      <c r="M5" s="173">
        <v>21</v>
      </c>
      <c r="N5" s="174">
        <v>315</v>
      </c>
      <c r="O5" s="174">
        <v>95</v>
      </c>
      <c r="P5" s="171">
        <v>7</v>
      </c>
      <c r="Q5" s="175">
        <v>21</v>
      </c>
      <c r="R5" s="175">
        <v>11</v>
      </c>
      <c r="S5" s="176">
        <v>41</v>
      </c>
      <c r="T5" s="176">
        <v>7</v>
      </c>
      <c r="U5" s="176">
        <v>3</v>
      </c>
      <c r="V5" s="187">
        <v>138</v>
      </c>
      <c r="W5" s="187">
        <v>163</v>
      </c>
      <c r="X5" s="188">
        <v>1507.5</v>
      </c>
      <c r="Y5" s="188">
        <v>533</v>
      </c>
      <c r="Z5" s="201">
        <v>30925.5</v>
      </c>
    </row>
    <row r="6" spans="1:26" ht="15" x14ac:dyDescent="0.25">
      <c r="A6" s="166" t="s">
        <v>272</v>
      </c>
      <c r="B6" s="167">
        <v>422</v>
      </c>
      <c r="C6" s="167">
        <v>56</v>
      </c>
      <c r="D6" s="167">
        <v>157</v>
      </c>
      <c r="E6" s="167">
        <v>209</v>
      </c>
      <c r="F6" s="169">
        <v>269</v>
      </c>
      <c r="G6" s="169">
        <v>59</v>
      </c>
      <c r="H6" s="169">
        <v>125</v>
      </c>
      <c r="I6" s="169">
        <v>85</v>
      </c>
      <c r="J6" s="171">
        <v>26</v>
      </c>
      <c r="K6" s="171">
        <v>129</v>
      </c>
      <c r="L6" s="172">
        <v>392</v>
      </c>
      <c r="M6" s="173">
        <v>18</v>
      </c>
      <c r="N6" s="174">
        <v>296</v>
      </c>
      <c r="O6" s="174">
        <v>102</v>
      </c>
      <c r="P6" s="171">
        <v>9</v>
      </c>
      <c r="Q6" s="175">
        <v>24</v>
      </c>
      <c r="R6" s="175">
        <v>12</v>
      </c>
      <c r="S6" s="176">
        <v>40</v>
      </c>
      <c r="T6" s="176">
        <v>10</v>
      </c>
      <c r="U6" s="176">
        <v>8</v>
      </c>
      <c r="V6" s="187">
        <v>160</v>
      </c>
      <c r="W6" s="187">
        <v>176</v>
      </c>
      <c r="X6" s="188">
        <v>1656</v>
      </c>
      <c r="Y6" s="188">
        <v>473.5</v>
      </c>
      <c r="Z6" s="201">
        <v>31875</v>
      </c>
    </row>
    <row r="7" spans="1:26" ht="15" x14ac:dyDescent="0.25">
      <c r="A7" s="166" t="s">
        <v>313</v>
      </c>
      <c r="B7" s="167">
        <v>380</v>
      </c>
      <c r="C7" s="167">
        <v>56</v>
      </c>
      <c r="D7" s="167">
        <v>83</v>
      </c>
      <c r="E7" s="167">
        <v>241</v>
      </c>
      <c r="F7" s="169">
        <v>225</v>
      </c>
      <c r="G7" s="169">
        <v>52</v>
      </c>
      <c r="H7" s="169">
        <v>91</v>
      </c>
      <c r="I7" s="169">
        <v>82</v>
      </c>
      <c r="J7" s="171">
        <v>15</v>
      </c>
      <c r="K7" s="171">
        <v>105</v>
      </c>
      <c r="L7" s="172">
        <v>379</v>
      </c>
      <c r="M7" s="173">
        <v>16</v>
      </c>
      <c r="N7" s="174">
        <v>247</v>
      </c>
      <c r="O7" s="174">
        <v>95</v>
      </c>
      <c r="P7" s="171">
        <v>5</v>
      </c>
      <c r="Q7" s="175">
        <v>18</v>
      </c>
      <c r="R7" s="175">
        <v>19</v>
      </c>
      <c r="S7" s="176">
        <v>51</v>
      </c>
      <c r="T7" s="176">
        <v>16</v>
      </c>
      <c r="U7" s="176">
        <v>7</v>
      </c>
      <c r="V7" s="187">
        <v>186</v>
      </c>
      <c r="W7" s="187">
        <v>233</v>
      </c>
      <c r="X7" s="188">
        <v>1663.5</v>
      </c>
      <c r="Y7" s="188">
        <v>509.5</v>
      </c>
      <c r="Z7" s="201">
        <v>28666</v>
      </c>
    </row>
    <row r="8" spans="1:26" ht="15" x14ac:dyDescent="0.25">
      <c r="A8" s="166" t="s">
        <v>273</v>
      </c>
      <c r="B8" s="167">
        <v>423</v>
      </c>
      <c r="C8" s="167">
        <v>42</v>
      </c>
      <c r="D8" s="167">
        <v>159</v>
      </c>
      <c r="E8" s="167">
        <v>222</v>
      </c>
      <c r="F8" s="169">
        <v>247</v>
      </c>
      <c r="G8" s="169">
        <v>39</v>
      </c>
      <c r="H8" s="169">
        <v>131</v>
      </c>
      <c r="I8" s="169">
        <v>77</v>
      </c>
      <c r="J8" s="171">
        <v>16</v>
      </c>
      <c r="K8" s="171">
        <v>126</v>
      </c>
      <c r="L8" s="172">
        <v>437</v>
      </c>
      <c r="M8" s="173">
        <v>25</v>
      </c>
      <c r="N8" s="174">
        <v>267</v>
      </c>
      <c r="O8" s="174">
        <v>104</v>
      </c>
      <c r="P8" s="171">
        <v>4</v>
      </c>
      <c r="Q8" s="175">
        <v>25</v>
      </c>
      <c r="R8" s="175">
        <v>15</v>
      </c>
      <c r="S8" s="176">
        <v>69</v>
      </c>
      <c r="T8" s="176">
        <v>17</v>
      </c>
      <c r="U8" s="176">
        <v>4</v>
      </c>
      <c r="V8" s="187">
        <v>70</v>
      </c>
      <c r="W8" s="187">
        <v>89</v>
      </c>
      <c r="X8" s="188">
        <v>1594</v>
      </c>
      <c r="Y8" s="188">
        <v>481.5</v>
      </c>
      <c r="Z8" s="201">
        <v>30688</v>
      </c>
    </row>
    <row r="9" spans="1:26" ht="15" x14ac:dyDescent="0.25">
      <c r="A9" s="166" t="s">
        <v>13</v>
      </c>
      <c r="B9" s="167">
        <v>448</v>
      </c>
      <c r="C9" s="167">
        <v>53</v>
      </c>
      <c r="D9" s="167">
        <v>158</v>
      </c>
      <c r="E9" s="167">
        <v>237</v>
      </c>
      <c r="F9" s="169">
        <v>257</v>
      </c>
      <c r="G9" s="169">
        <v>50</v>
      </c>
      <c r="H9" s="169">
        <v>116</v>
      </c>
      <c r="I9" s="169">
        <v>91</v>
      </c>
      <c r="J9" s="171">
        <v>23</v>
      </c>
      <c r="K9" s="171">
        <v>120</v>
      </c>
      <c r="L9" s="172">
        <v>452</v>
      </c>
      <c r="M9" s="173">
        <v>17</v>
      </c>
      <c r="N9" s="174">
        <v>304</v>
      </c>
      <c r="O9" s="174">
        <v>95</v>
      </c>
      <c r="P9" s="171">
        <v>13</v>
      </c>
      <c r="Q9" s="175">
        <v>21</v>
      </c>
      <c r="R9" s="175">
        <v>11</v>
      </c>
      <c r="S9" s="176">
        <v>41</v>
      </c>
      <c r="T9" s="176">
        <v>19</v>
      </c>
      <c r="U9" s="176">
        <v>8</v>
      </c>
      <c r="V9" s="187">
        <v>58</v>
      </c>
      <c r="W9" s="187">
        <v>79</v>
      </c>
      <c r="X9" s="188">
        <v>1664</v>
      </c>
      <c r="Y9" s="188">
        <v>565.5</v>
      </c>
      <c r="Z9" s="201">
        <v>33498.5</v>
      </c>
    </row>
    <row r="10" spans="1:26" ht="15" x14ac:dyDescent="0.25">
      <c r="A10" s="166" t="s">
        <v>312</v>
      </c>
      <c r="B10" s="167">
        <v>355</v>
      </c>
      <c r="C10" s="167">
        <v>40</v>
      </c>
      <c r="D10" s="167">
        <v>121</v>
      </c>
      <c r="E10" s="167">
        <v>194</v>
      </c>
      <c r="F10" s="169">
        <v>208</v>
      </c>
      <c r="G10" s="169">
        <v>41</v>
      </c>
      <c r="H10" s="169">
        <v>93</v>
      </c>
      <c r="I10" s="169">
        <v>74</v>
      </c>
      <c r="J10" s="171">
        <v>29</v>
      </c>
      <c r="K10" s="171">
        <v>99</v>
      </c>
      <c r="L10" s="172">
        <v>387</v>
      </c>
      <c r="M10" s="173">
        <v>24</v>
      </c>
      <c r="N10" s="174">
        <v>294</v>
      </c>
      <c r="O10" s="174">
        <v>75</v>
      </c>
      <c r="P10" s="171">
        <v>7</v>
      </c>
      <c r="Q10" s="175">
        <v>16</v>
      </c>
      <c r="R10" s="175">
        <v>8</v>
      </c>
      <c r="S10" s="176">
        <v>41</v>
      </c>
      <c r="T10" s="176">
        <v>10</v>
      </c>
      <c r="U10" s="176">
        <v>9</v>
      </c>
      <c r="V10" s="187">
        <v>104</v>
      </c>
      <c r="W10" s="187">
        <v>141</v>
      </c>
      <c r="X10" s="188">
        <v>1582</v>
      </c>
      <c r="Y10" s="188">
        <v>555</v>
      </c>
      <c r="Z10" s="201">
        <v>28162</v>
      </c>
    </row>
    <row r="11" spans="1:26" ht="15" x14ac:dyDescent="0.25">
      <c r="A11" s="166" t="s">
        <v>304</v>
      </c>
      <c r="B11" s="167">
        <v>460</v>
      </c>
      <c r="C11" s="167">
        <v>65</v>
      </c>
      <c r="D11" s="167">
        <v>128</v>
      </c>
      <c r="E11" s="167">
        <v>267</v>
      </c>
      <c r="F11" s="169">
        <v>225</v>
      </c>
      <c r="G11" s="169">
        <v>56</v>
      </c>
      <c r="H11" s="169">
        <v>79</v>
      </c>
      <c r="I11" s="169">
        <v>90</v>
      </c>
      <c r="J11" s="171">
        <v>23</v>
      </c>
      <c r="K11" s="171">
        <v>138</v>
      </c>
      <c r="L11" s="172">
        <v>426</v>
      </c>
      <c r="M11" s="173">
        <v>18</v>
      </c>
      <c r="N11" s="174">
        <v>344</v>
      </c>
      <c r="O11" s="174">
        <v>81</v>
      </c>
      <c r="P11" s="171">
        <v>7</v>
      </c>
      <c r="Q11" s="175">
        <v>28</v>
      </c>
      <c r="R11" s="175">
        <v>19</v>
      </c>
      <c r="S11" s="176">
        <v>63</v>
      </c>
      <c r="T11" s="176">
        <v>10</v>
      </c>
      <c r="U11" s="176">
        <v>9</v>
      </c>
      <c r="V11" s="187">
        <v>216</v>
      </c>
      <c r="W11" s="187">
        <v>279</v>
      </c>
      <c r="X11" s="188">
        <v>1736.5</v>
      </c>
      <c r="Y11" s="188">
        <v>599</v>
      </c>
      <c r="Z11" s="201">
        <v>32885.5</v>
      </c>
    </row>
    <row r="17" spans="1:1" ht="15" thickBot="1" x14ac:dyDescent="0.25"/>
    <row r="18" spans="1:1" ht="86.25" thickBot="1" x14ac:dyDescent="0.25">
      <c r="A18" s="202" t="s">
        <v>358</v>
      </c>
    </row>
  </sheetData>
  <autoFilter ref="A1:Z1" xr:uid="{00000000-0009-0000-0000-00000B000000}">
    <sortState ref="A2:Z11">
      <sortCondition ref="A1"/>
    </sortState>
  </autoFilter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50B2-E49C-4DEB-B8F4-FB6B1F425AA7}">
  <dimension ref="A1:M55"/>
  <sheetViews>
    <sheetView showGridLines="0" zoomScale="110" zoomScaleNormal="110" workbookViewId="0">
      <selection activeCell="K61" sqref="K61"/>
    </sheetView>
  </sheetViews>
  <sheetFormatPr defaultColWidth="9" defaultRowHeight="14.25" x14ac:dyDescent="0.2"/>
  <cols>
    <col min="1" max="1" width="28.75" style="86" bestFit="1" customWidth="1"/>
    <col min="2" max="2" width="9.75" style="86" bestFit="1" customWidth="1"/>
    <col min="3" max="3" width="11.25" style="86" bestFit="1" customWidth="1"/>
    <col min="4" max="4" width="18.25" style="86" bestFit="1" customWidth="1"/>
    <col min="5" max="5" width="14.5" style="86" bestFit="1" customWidth="1"/>
    <col min="6" max="6" width="18.625" style="86" bestFit="1" customWidth="1"/>
    <col min="7" max="7" width="19.875" style="86" bestFit="1" customWidth="1"/>
    <col min="8" max="8" width="15.75" style="86" bestFit="1" customWidth="1"/>
    <col min="9" max="9" width="17.125" style="86" bestFit="1" customWidth="1"/>
    <col min="10" max="10" width="12.375" style="86" bestFit="1" customWidth="1"/>
    <col min="11" max="12" width="9.75" style="86" bestFit="1" customWidth="1"/>
    <col min="13" max="16384" width="9" style="86"/>
  </cols>
  <sheetData>
    <row r="1" spans="1:11" ht="15" x14ac:dyDescent="0.25">
      <c r="A1" s="269" t="s">
        <v>405</v>
      </c>
      <c r="B1" s="171" t="s">
        <v>359</v>
      </c>
      <c r="C1" s="171" t="s">
        <v>360</v>
      </c>
      <c r="D1" s="171" t="s">
        <v>361</v>
      </c>
      <c r="E1" s="171" t="s">
        <v>362</v>
      </c>
      <c r="F1" s="171" t="s">
        <v>363</v>
      </c>
      <c r="G1" s="171" t="s">
        <v>364</v>
      </c>
      <c r="H1" s="171" t="s">
        <v>481</v>
      </c>
      <c r="I1" s="171" t="s">
        <v>438</v>
      </c>
      <c r="J1" s="305" t="s">
        <v>365</v>
      </c>
    </row>
    <row r="2" spans="1:11" ht="15" x14ac:dyDescent="0.25">
      <c r="A2" s="107" t="s">
        <v>312</v>
      </c>
      <c r="B2" s="189">
        <v>1</v>
      </c>
      <c r="C2" s="189">
        <v>0</v>
      </c>
      <c r="D2" s="189">
        <v>3</v>
      </c>
      <c r="E2" s="189">
        <v>1</v>
      </c>
      <c r="F2" s="189">
        <v>0</v>
      </c>
      <c r="G2" s="189">
        <v>2</v>
      </c>
      <c r="H2" s="189">
        <v>0</v>
      </c>
      <c r="I2" s="189">
        <v>0</v>
      </c>
      <c r="J2" s="189">
        <f t="shared" ref="J2:J11" si="0">SUM(B2:I2)</f>
        <v>7</v>
      </c>
    </row>
    <row r="3" spans="1:11" ht="15" x14ac:dyDescent="0.25">
      <c r="A3" s="107" t="s">
        <v>7</v>
      </c>
      <c r="B3" s="171">
        <v>6</v>
      </c>
      <c r="C3" s="171">
        <v>3</v>
      </c>
      <c r="D3" s="171">
        <v>4</v>
      </c>
      <c r="E3" s="171">
        <v>2</v>
      </c>
      <c r="F3" s="171">
        <v>4</v>
      </c>
      <c r="G3" s="171">
        <v>1</v>
      </c>
      <c r="H3" s="171">
        <v>0</v>
      </c>
      <c r="I3" s="171">
        <v>1</v>
      </c>
      <c r="J3" s="171">
        <f t="shared" si="0"/>
        <v>21</v>
      </c>
    </row>
    <row r="4" spans="1:11" ht="15" x14ac:dyDescent="0.25">
      <c r="A4" s="107" t="s">
        <v>304</v>
      </c>
      <c r="B4" s="189">
        <v>0</v>
      </c>
      <c r="C4" s="189">
        <v>1</v>
      </c>
      <c r="D4" s="189">
        <v>0</v>
      </c>
      <c r="E4" s="189">
        <v>2</v>
      </c>
      <c r="F4" s="189">
        <v>0</v>
      </c>
      <c r="G4" s="189">
        <v>1</v>
      </c>
      <c r="H4" s="189">
        <v>0</v>
      </c>
      <c r="I4" s="189">
        <v>0</v>
      </c>
      <c r="J4" s="189">
        <f t="shared" si="0"/>
        <v>4</v>
      </c>
    </row>
    <row r="5" spans="1:11" ht="15" x14ac:dyDescent="0.25">
      <c r="A5" s="107" t="s">
        <v>9</v>
      </c>
      <c r="B5" s="171">
        <v>1</v>
      </c>
      <c r="C5" s="171">
        <v>2</v>
      </c>
      <c r="D5" s="171">
        <v>1</v>
      </c>
      <c r="E5" s="171">
        <v>2</v>
      </c>
      <c r="F5" s="171">
        <v>2</v>
      </c>
      <c r="G5" s="171">
        <v>2</v>
      </c>
      <c r="H5" s="171">
        <v>2</v>
      </c>
      <c r="I5" s="171">
        <v>0</v>
      </c>
      <c r="J5" s="171">
        <f t="shared" si="0"/>
        <v>12</v>
      </c>
    </row>
    <row r="6" spans="1:11" ht="15" x14ac:dyDescent="0.25">
      <c r="A6" s="107" t="s">
        <v>10</v>
      </c>
      <c r="B6" s="189">
        <v>0</v>
      </c>
      <c r="C6" s="189">
        <v>3</v>
      </c>
      <c r="D6" s="189">
        <v>0</v>
      </c>
      <c r="E6" s="189">
        <v>2</v>
      </c>
      <c r="F6" s="189">
        <v>2</v>
      </c>
      <c r="G6" s="189">
        <v>2</v>
      </c>
      <c r="H6" s="189">
        <v>2</v>
      </c>
      <c r="I6" s="189">
        <v>0</v>
      </c>
      <c r="J6" s="189">
        <f t="shared" si="0"/>
        <v>11</v>
      </c>
    </row>
    <row r="7" spans="1:11" ht="15" x14ac:dyDescent="0.25">
      <c r="A7" s="107" t="s">
        <v>274</v>
      </c>
      <c r="B7" s="171">
        <v>0</v>
      </c>
      <c r="C7" s="171">
        <v>2</v>
      </c>
      <c r="D7" s="171">
        <v>1</v>
      </c>
      <c r="E7" s="171">
        <v>1</v>
      </c>
      <c r="F7" s="171">
        <v>1</v>
      </c>
      <c r="G7" s="171">
        <v>1</v>
      </c>
      <c r="H7" s="171">
        <v>3</v>
      </c>
      <c r="I7" s="171">
        <v>0</v>
      </c>
      <c r="J7" s="171">
        <f t="shared" si="0"/>
        <v>9</v>
      </c>
    </row>
    <row r="8" spans="1:11" ht="15" x14ac:dyDescent="0.25">
      <c r="A8" s="107" t="s">
        <v>313</v>
      </c>
      <c r="B8" s="189">
        <v>2</v>
      </c>
      <c r="C8" s="189">
        <v>0</v>
      </c>
      <c r="D8" s="189">
        <v>1</v>
      </c>
      <c r="E8" s="189">
        <v>0</v>
      </c>
      <c r="F8" s="189">
        <v>1</v>
      </c>
      <c r="G8" s="189">
        <v>1</v>
      </c>
      <c r="H8" s="189">
        <v>1</v>
      </c>
      <c r="I8" s="189">
        <v>0</v>
      </c>
      <c r="J8" s="189">
        <f t="shared" si="0"/>
        <v>6</v>
      </c>
    </row>
    <row r="9" spans="1:11" ht="15" x14ac:dyDescent="0.25">
      <c r="A9" s="107" t="s">
        <v>272</v>
      </c>
      <c r="B9" s="171">
        <v>5</v>
      </c>
      <c r="C9" s="171">
        <v>3</v>
      </c>
      <c r="D9" s="171">
        <v>1</v>
      </c>
      <c r="E9" s="171">
        <v>2</v>
      </c>
      <c r="F9" s="171">
        <v>2</v>
      </c>
      <c r="G9" s="171">
        <v>1</v>
      </c>
      <c r="H9" s="171">
        <v>1</v>
      </c>
      <c r="I9" s="171">
        <v>0</v>
      </c>
      <c r="J9" s="171">
        <f t="shared" si="0"/>
        <v>15</v>
      </c>
    </row>
    <row r="10" spans="1:11" ht="15" x14ac:dyDescent="0.25">
      <c r="A10" s="107" t="s">
        <v>273</v>
      </c>
      <c r="B10" s="189">
        <v>1</v>
      </c>
      <c r="C10" s="189">
        <v>0</v>
      </c>
      <c r="D10" s="189">
        <v>2</v>
      </c>
      <c r="E10" s="189">
        <v>1</v>
      </c>
      <c r="F10" s="189">
        <v>1</v>
      </c>
      <c r="G10" s="189">
        <v>1</v>
      </c>
      <c r="H10" s="189">
        <v>0</v>
      </c>
      <c r="I10" s="189">
        <v>0</v>
      </c>
      <c r="J10" s="189">
        <f t="shared" si="0"/>
        <v>6</v>
      </c>
    </row>
    <row r="11" spans="1:11" ht="15" x14ac:dyDescent="0.25">
      <c r="A11" s="107" t="s">
        <v>13</v>
      </c>
      <c r="B11" s="171">
        <v>1</v>
      </c>
      <c r="C11" s="171">
        <v>3</v>
      </c>
      <c r="D11" s="171">
        <v>2</v>
      </c>
      <c r="E11" s="171">
        <v>0</v>
      </c>
      <c r="F11" s="171">
        <v>2</v>
      </c>
      <c r="G11" s="171">
        <v>0</v>
      </c>
      <c r="H11" s="171">
        <v>0</v>
      </c>
      <c r="I11" s="171">
        <v>1</v>
      </c>
      <c r="J11" s="171">
        <f t="shared" si="0"/>
        <v>9</v>
      </c>
    </row>
    <row r="13" spans="1:11" ht="15" x14ac:dyDescent="0.25">
      <c r="A13" s="269" t="s">
        <v>404</v>
      </c>
      <c r="B13" s="171" t="s">
        <v>406</v>
      </c>
      <c r="C13" s="171" t="s">
        <v>407</v>
      </c>
      <c r="D13" s="171" t="s">
        <v>408</v>
      </c>
      <c r="E13" s="171" t="s">
        <v>409</v>
      </c>
      <c r="F13" s="171" t="s">
        <v>410</v>
      </c>
      <c r="G13" s="171" t="s">
        <v>411</v>
      </c>
      <c r="H13" s="171" t="s">
        <v>412</v>
      </c>
      <c r="I13" s="171" t="s">
        <v>413</v>
      </c>
      <c r="J13" s="171" t="s">
        <v>437</v>
      </c>
      <c r="K13" s="171" t="s">
        <v>479</v>
      </c>
    </row>
    <row r="14" spans="1:11" ht="15" x14ac:dyDescent="0.25">
      <c r="A14" s="107" t="s">
        <v>312</v>
      </c>
      <c r="B14" s="189"/>
      <c r="C14" s="189"/>
      <c r="D14" s="189">
        <v>8</v>
      </c>
      <c r="E14" s="189">
        <v>10</v>
      </c>
      <c r="F14" s="189">
        <v>3</v>
      </c>
      <c r="G14" s="189">
        <v>2</v>
      </c>
      <c r="H14" s="189">
        <v>2</v>
      </c>
      <c r="I14" s="189">
        <v>2</v>
      </c>
      <c r="J14" s="189">
        <v>5</v>
      </c>
      <c r="K14" s="189">
        <v>5</v>
      </c>
    </row>
    <row r="15" spans="1:11" ht="15" x14ac:dyDescent="0.25">
      <c r="A15" s="107" t="s">
        <v>7</v>
      </c>
      <c r="B15" s="171">
        <v>1</v>
      </c>
      <c r="C15" s="171">
        <v>7</v>
      </c>
      <c r="D15" s="171">
        <v>4</v>
      </c>
      <c r="E15" s="171">
        <v>5</v>
      </c>
      <c r="F15" s="171">
        <v>4</v>
      </c>
      <c r="G15" s="171">
        <v>9</v>
      </c>
      <c r="H15" s="171">
        <v>8</v>
      </c>
      <c r="I15" s="171">
        <v>1</v>
      </c>
      <c r="J15" s="171">
        <v>6</v>
      </c>
      <c r="K15" s="171">
        <v>1</v>
      </c>
    </row>
    <row r="16" spans="1:11" ht="15" x14ac:dyDescent="0.25">
      <c r="A16" s="107" t="s">
        <v>304</v>
      </c>
      <c r="B16" s="189">
        <v>5</v>
      </c>
      <c r="C16" s="189">
        <v>9</v>
      </c>
      <c r="D16" s="189">
        <v>5</v>
      </c>
      <c r="E16" s="189">
        <v>2</v>
      </c>
      <c r="F16" s="189">
        <v>2</v>
      </c>
      <c r="G16" s="189">
        <v>8</v>
      </c>
      <c r="H16" s="189">
        <v>3</v>
      </c>
      <c r="I16" s="189">
        <v>6</v>
      </c>
      <c r="J16" s="189">
        <v>10</v>
      </c>
      <c r="K16" s="189">
        <v>4</v>
      </c>
    </row>
    <row r="17" spans="1:11" ht="15" x14ac:dyDescent="0.25">
      <c r="A17" s="107" t="s">
        <v>9</v>
      </c>
      <c r="B17" s="171">
        <v>9</v>
      </c>
      <c r="C17" s="171">
        <v>3</v>
      </c>
      <c r="D17" s="171">
        <v>6</v>
      </c>
      <c r="E17" s="171">
        <v>4</v>
      </c>
      <c r="F17" s="171">
        <v>8</v>
      </c>
      <c r="G17" s="171">
        <v>6</v>
      </c>
      <c r="H17" s="171">
        <v>1</v>
      </c>
      <c r="I17" s="171">
        <v>8</v>
      </c>
      <c r="J17" s="171">
        <v>7</v>
      </c>
      <c r="K17" s="171">
        <v>10</v>
      </c>
    </row>
    <row r="18" spans="1:11" ht="15" x14ac:dyDescent="0.25">
      <c r="A18" s="107" t="s">
        <v>10</v>
      </c>
      <c r="B18" s="189">
        <v>8</v>
      </c>
      <c r="C18" s="189">
        <v>4</v>
      </c>
      <c r="D18" s="189">
        <v>2</v>
      </c>
      <c r="E18" s="189">
        <v>7</v>
      </c>
      <c r="F18" s="189">
        <v>5</v>
      </c>
      <c r="G18" s="189">
        <v>3</v>
      </c>
      <c r="H18" s="189">
        <v>7</v>
      </c>
      <c r="I18" s="189">
        <v>5</v>
      </c>
      <c r="J18" s="189">
        <v>4</v>
      </c>
      <c r="K18" s="189">
        <v>3</v>
      </c>
    </row>
    <row r="19" spans="1:11" ht="15" x14ac:dyDescent="0.25">
      <c r="A19" s="107" t="s">
        <v>274</v>
      </c>
      <c r="B19" s="171">
        <v>6</v>
      </c>
      <c r="C19" s="171">
        <v>6</v>
      </c>
      <c r="D19" s="171">
        <v>9</v>
      </c>
      <c r="E19" s="171">
        <v>8</v>
      </c>
      <c r="F19" s="171">
        <v>6</v>
      </c>
      <c r="G19" s="171">
        <v>4</v>
      </c>
      <c r="H19" s="171">
        <v>5</v>
      </c>
      <c r="I19" s="171">
        <v>3</v>
      </c>
      <c r="J19" s="171">
        <v>9</v>
      </c>
      <c r="K19" s="171">
        <v>9</v>
      </c>
    </row>
    <row r="20" spans="1:11" ht="15" x14ac:dyDescent="0.25">
      <c r="A20" s="107" t="s">
        <v>313</v>
      </c>
      <c r="B20" s="189"/>
      <c r="C20" s="189"/>
      <c r="D20" s="189">
        <v>3</v>
      </c>
      <c r="E20" s="189">
        <v>3</v>
      </c>
      <c r="F20" s="189">
        <v>1</v>
      </c>
      <c r="G20" s="189">
        <v>1</v>
      </c>
      <c r="H20" s="189">
        <v>10</v>
      </c>
      <c r="I20" s="189">
        <v>7</v>
      </c>
      <c r="J20" s="189">
        <v>8</v>
      </c>
      <c r="K20" s="189">
        <v>6</v>
      </c>
    </row>
    <row r="21" spans="1:11" ht="15" x14ac:dyDescent="0.25">
      <c r="A21" s="107" t="s">
        <v>272</v>
      </c>
      <c r="B21" s="171">
        <v>4</v>
      </c>
      <c r="C21" s="171">
        <v>1</v>
      </c>
      <c r="D21" s="171">
        <v>10</v>
      </c>
      <c r="E21" s="171">
        <v>1</v>
      </c>
      <c r="F21" s="171">
        <v>9</v>
      </c>
      <c r="G21" s="171">
        <v>7</v>
      </c>
      <c r="H21" s="171">
        <v>9</v>
      </c>
      <c r="I21" s="171">
        <v>10</v>
      </c>
      <c r="J21" s="171">
        <v>1</v>
      </c>
      <c r="K21" s="171">
        <v>8</v>
      </c>
    </row>
    <row r="22" spans="1:11" ht="15" x14ac:dyDescent="0.25">
      <c r="A22" s="107" t="s">
        <v>273</v>
      </c>
      <c r="B22" s="189">
        <v>2</v>
      </c>
      <c r="C22" s="189">
        <v>5</v>
      </c>
      <c r="D22" s="189">
        <v>7</v>
      </c>
      <c r="E22" s="189">
        <v>9</v>
      </c>
      <c r="F22" s="189">
        <v>7</v>
      </c>
      <c r="G22" s="189">
        <v>5</v>
      </c>
      <c r="H22" s="189">
        <v>6</v>
      </c>
      <c r="I22" s="189">
        <v>9</v>
      </c>
      <c r="J22" s="189">
        <v>3</v>
      </c>
      <c r="K22" s="189">
        <v>7</v>
      </c>
    </row>
    <row r="23" spans="1:11" ht="15" x14ac:dyDescent="0.25">
      <c r="A23" s="107" t="s">
        <v>13</v>
      </c>
      <c r="B23" s="171">
        <v>3</v>
      </c>
      <c r="C23" s="171">
        <v>2</v>
      </c>
      <c r="D23" s="171">
        <v>1</v>
      </c>
      <c r="E23" s="171">
        <v>6</v>
      </c>
      <c r="F23" s="171">
        <v>10</v>
      </c>
      <c r="G23" s="171">
        <v>10</v>
      </c>
      <c r="H23" s="171">
        <v>4</v>
      </c>
      <c r="I23" s="171">
        <v>4</v>
      </c>
      <c r="J23" s="171">
        <v>2</v>
      </c>
      <c r="K23" s="171">
        <v>2</v>
      </c>
    </row>
    <row r="45" spans="1:13" ht="15" x14ac:dyDescent="0.25">
      <c r="A45" s="269" t="s">
        <v>439</v>
      </c>
      <c r="B45" s="171" t="s">
        <v>440</v>
      </c>
      <c r="C45" s="171" t="s">
        <v>441</v>
      </c>
      <c r="D45" s="171" t="s">
        <v>406</v>
      </c>
      <c r="E45" s="171" t="s">
        <v>407</v>
      </c>
      <c r="F45" s="171" t="s">
        <v>408</v>
      </c>
      <c r="G45" s="171" t="s">
        <v>410</v>
      </c>
      <c r="H45" s="171" t="s">
        <v>411</v>
      </c>
      <c r="I45" s="171" t="s">
        <v>412</v>
      </c>
      <c r="J45" s="171" t="s">
        <v>413</v>
      </c>
      <c r="K45" s="171" t="s">
        <v>437</v>
      </c>
      <c r="L45" s="171" t="s">
        <v>479</v>
      </c>
      <c r="M45" s="306" t="s">
        <v>345</v>
      </c>
    </row>
    <row r="46" spans="1:13" ht="15" x14ac:dyDescent="0.25">
      <c r="A46" s="107" t="s">
        <v>312</v>
      </c>
      <c r="B46" s="322"/>
      <c r="C46" s="322"/>
      <c r="D46" s="322"/>
      <c r="E46" s="322"/>
      <c r="F46" s="308">
        <v>-155</v>
      </c>
      <c r="G46" s="309">
        <v>45</v>
      </c>
      <c r="H46" s="309">
        <v>275</v>
      </c>
      <c r="I46" s="309">
        <v>275</v>
      </c>
      <c r="J46" s="309">
        <v>140</v>
      </c>
      <c r="K46" s="308">
        <v>-160</v>
      </c>
      <c r="L46" s="308">
        <v>-160</v>
      </c>
      <c r="M46" s="309">
        <f>SUM(B46:L46)</f>
        <v>260</v>
      </c>
    </row>
    <row r="47" spans="1:13" ht="15" x14ac:dyDescent="0.25">
      <c r="A47" s="107" t="s">
        <v>7</v>
      </c>
      <c r="B47" s="309">
        <v>225</v>
      </c>
      <c r="C47" s="309">
        <v>155</v>
      </c>
      <c r="D47" s="309">
        <v>340</v>
      </c>
      <c r="E47" s="308">
        <v>-155</v>
      </c>
      <c r="F47" s="309">
        <v>25</v>
      </c>
      <c r="G47" s="309">
        <v>170</v>
      </c>
      <c r="H47" s="308">
        <v>-170</v>
      </c>
      <c r="I47" s="308">
        <v>-155</v>
      </c>
      <c r="J47" s="309">
        <v>425</v>
      </c>
      <c r="K47" s="308">
        <v>-55</v>
      </c>
      <c r="L47" s="309">
        <v>335</v>
      </c>
      <c r="M47" s="309">
        <f t="shared" ref="M47:M55" si="1">SUM(B47:L47)</f>
        <v>1140</v>
      </c>
    </row>
    <row r="48" spans="1:13" ht="15" x14ac:dyDescent="0.25">
      <c r="A48" s="107" t="s">
        <v>304</v>
      </c>
      <c r="B48" s="322"/>
      <c r="C48" s="309">
        <v>55</v>
      </c>
      <c r="D48" s="308">
        <v>-125</v>
      </c>
      <c r="E48" s="308">
        <v>-145</v>
      </c>
      <c r="F48" s="308">
        <v>-110</v>
      </c>
      <c r="G48" s="307">
        <v>0</v>
      </c>
      <c r="H48" s="308">
        <v>-155</v>
      </c>
      <c r="I48" s="309">
        <v>70</v>
      </c>
      <c r="J48" s="308">
        <v>-10</v>
      </c>
      <c r="K48" s="308">
        <v>-105</v>
      </c>
      <c r="L48" s="309">
        <v>80</v>
      </c>
      <c r="M48" s="308">
        <f t="shared" si="1"/>
        <v>-445</v>
      </c>
    </row>
    <row r="49" spans="1:13" ht="15" x14ac:dyDescent="0.25">
      <c r="A49" s="107" t="s">
        <v>9</v>
      </c>
      <c r="B49" s="322"/>
      <c r="C49" s="308">
        <v>-107.5</v>
      </c>
      <c r="D49" s="308">
        <v>-170</v>
      </c>
      <c r="E49" s="309">
        <v>165</v>
      </c>
      <c r="F49" s="308">
        <v>-65</v>
      </c>
      <c r="G49" s="308">
        <v>-85</v>
      </c>
      <c r="H49" s="309">
        <v>10</v>
      </c>
      <c r="I49" s="309">
        <v>515</v>
      </c>
      <c r="J49" s="308">
        <v>-105</v>
      </c>
      <c r="K49" s="308">
        <v>-135</v>
      </c>
      <c r="L49" s="308">
        <v>-140</v>
      </c>
      <c r="M49" s="308">
        <f t="shared" si="1"/>
        <v>-117.5</v>
      </c>
    </row>
    <row r="50" spans="1:13" ht="15" x14ac:dyDescent="0.25">
      <c r="A50" s="107" t="s">
        <v>10</v>
      </c>
      <c r="B50" s="308">
        <v>-155</v>
      </c>
      <c r="C50" s="309">
        <v>27.5</v>
      </c>
      <c r="D50" s="309">
        <v>15</v>
      </c>
      <c r="E50" s="309">
        <v>70</v>
      </c>
      <c r="F50" s="309">
        <v>255</v>
      </c>
      <c r="G50" s="308">
        <v>-35</v>
      </c>
      <c r="H50" s="309">
        <v>45</v>
      </c>
      <c r="I50" s="308">
        <v>-155</v>
      </c>
      <c r="J50" s="308">
        <v>-40</v>
      </c>
      <c r="K50" s="309">
        <v>45</v>
      </c>
      <c r="L50" s="309">
        <v>220</v>
      </c>
      <c r="M50" s="309">
        <f t="shared" si="1"/>
        <v>292.5</v>
      </c>
    </row>
    <row r="51" spans="1:13" ht="15" x14ac:dyDescent="0.25">
      <c r="A51" s="107" t="s">
        <v>274</v>
      </c>
      <c r="B51" s="309">
        <v>10</v>
      </c>
      <c r="C51" s="308">
        <v>-85</v>
      </c>
      <c r="D51" s="308">
        <v>-155</v>
      </c>
      <c r="E51" s="308">
        <v>-115</v>
      </c>
      <c r="F51" s="308">
        <v>-170</v>
      </c>
      <c r="G51" s="308">
        <v>-110</v>
      </c>
      <c r="H51" s="309">
        <v>70</v>
      </c>
      <c r="I51" s="308">
        <v>-45</v>
      </c>
      <c r="J51" s="309">
        <v>40</v>
      </c>
      <c r="K51" s="308">
        <v>-95</v>
      </c>
      <c r="L51" s="308">
        <v>-175</v>
      </c>
      <c r="M51" s="308">
        <f t="shared" si="1"/>
        <v>-830</v>
      </c>
    </row>
    <row r="52" spans="1:13" ht="15" x14ac:dyDescent="0.25">
      <c r="A52" s="107" t="s">
        <v>313</v>
      </c>
      <c r="B52" s="322"/>
      <c r="C52" s="322"/>
      <c r="D52" s="322"/>
      <c r="E52" s="322"/>
      <c r="F52" s="309">
        <v>45</v>
      </c>
      <c r="G52" s="309">
        <v>445</v>
      </c>
      <c r="H52" s="309">
        <v>350</v>
      </c>
      <c r="I52" s="308">
        <v>-180</v>
      </c>
      <c r="J52" s="308">
        <v>-160</v>
      </c>
      <c r="K52" s="308">
        <v>-160</v>
      </c>
      <c r="L52" s="308">
        <v>-135</v>
      </c>
      <c r="M52" s="309">
        <f t="shared" si="1"/>
        <v>205</v>
      </c>
    </row>
    <row r="53" spans="1:13" ht="15" x14ac:dyDescent="0.25">
      <c r="A53" s="107" t="s">
        <v>272</v>
      </c>
      <c r="B53" s="309">
        <v>325</v>
      </c>
      <c r="C53" s="308">
        <v>-75</v>
      </c>
      <c r="D53" s="308">
        <v>-30</v>
      </c>
      <c r="E53" s="309">
        <v>475</v>
      </c>
      <c r="F53" s="308">
        <v>-155</v>
      </c>
      <c r="G53" s="308">
        <v>-105</v>
      </c>
      <c r="H53" s="308">
        <v>-115</v>
      </c>
      <c r="I53" s="308">
        <v>-170</v>
      </c>
      <c r="J53" s="308">
        <v>-185</v>
      </c>
      <c r="K53" s="309">
        <v>290</v>
      </c>
      <c r="L53" s="308">
        <v>-80</v>
      </c>
      <c r="M53" s="309">
        <f t="shared" si="1"/>
        <v>175</v>
      </c>
    </row>
    <row r="54" spans="1:13" ht="15" x14ac:dyDescent="0.25">
      <c r="A54" s="107" t="s">
        <v>273</v>
      </c>
      <c r="B54" s="308">
        <v>-180</v>
      </c>
      <c r="C54" s="309">
        <v>435</v>
      </c>
      <c r="D54" s="309">
        <v>300</v>
      </c>
      <c r="E54" s="308">
        <v>-155</v>
      </c>
      <c r="F54" s="308">
        <v>-115</v>
      </c>
      <c r="G54" s="308">
        <v>-155</v>
      </c>
      <c r="H54" s="308">
        <v>-130</v>
      </c>
      <c r="I54" s="308">
        <v>-155</v>
      </c>
      <c r="J54" s="308">
        <v>-150</v>
      </c>
      <c r="K54" s="309">
        <v>40</v>
      </c>
      <c r="L54" s="308">
        <v>-110</v>
      </c>
      <c r="M54" s="308">
        <f t="shared" si="1"/>
        <v>-375</v>
      </c>
    </row>
    <row r="55" spans="1:13" ht="15" x14ac:dyDescent="0.25">
      <c r="A55" s="107" t="s">
        <v>13</v>
      </c>
      <c r="B55" s="309">
        <v>20</v>
      </c>
      <c r="C55" s="308">
        <v>-180</v>
      </c>
      <c r="D55" s="309">
        <v>25</v>
      </c>
      <c r="E55" s="309">
        <v>195</v>
      </c>
      <c r="F55" s="309">
        <v>445</v>
      </c>
      <c r="G55" s="308">
        <v>-170</v>
      </c>
      <c r="H55" s="308">
        <v>-180</v>
      </c>
      <c r="I55" s="307">
        <v>0</v>
      </c>
      <c r="J55" s="309">
        <v>45</v>
      </c>
      <c r="K55" s="309">
        <v>335</v>
      </c>
      <c r="L55" s="309">
        <v>165</v>
      </c>
      <c r="M55" s="309">
        <f t="shared" si="1"/>
        <v>700</v>
      </c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9B52E-5297-4642-85D9-36A8FE4DF56D}">
  <dimension ref="A1:U11"/>
  <sheetViews>
    <sheetView zoomScale="120" zoomScaleNormal="120" workbookViewId="0">
      <pane ySplit="1" topLeftCell="A2" activePane="bottomLeft" state="frozen"/>
      <selection pane="bottomLeft" activeCell="N27" sqref="N27"/>
    </sheetView>
  </sheetViews>
  <sheetFormatPr defaultRowHeight="14.25" x14ac:dyDescent="0.2"/>
  <cols>
    <col min="1" max="1" width="9.875" bestFit="1" customWidth="1"/>
  </cols>
  <sheetData>
    <row r="1" spans="1:21" ht="15" x14ac:dyDescent="0.25">
      <c r="A1" s="48" t="s">
        <v>403</v>
      </c>
      <c r="B1" s="424" t="s">
        <v>312</v>
      </c>
      <c r="C1" s="425"/>
      <c r="D1" s="426" t="s">
        <v>7</v>
      </c>
      <c r="E1" s="427"/>
      <c r="F1" s="450" t="s">
        <v>304</v>
      </c>
      <c r="G1" s="429"/>
      <c r="H1" s="451" t="s">
        <v>9</v>
      </c>
      <c r="I1" s="431"/>
      <c r="J1" s="452" t="s">
        <v>10</v>
      </c>
      <c r="K1" s="433"/>
      <c r="L1" s="453" t="s">
        <v>267</v>
      </c>
      <c r="M1" s="435"/>
      <c r="N1" s="441" t="s">
        <v>313</v>
      </c>
      <c r="O1" s="411"/>
      <c r="P1" s="442" t="s">
        <v>272</v>
      </c>
      <c r="Q1" s="413"/>
      <c r="R1" s="443" t="s">
        <v>273</v>
      </c>
      <c r="S1" s="415"/>
      <c r="T1" s="444" t="s">
        <v>13</v>
      </c>
      <c r="U1" s="445"/>
    </row>
    <row r="2" spans="1:21" ht="14.25" customHeight="1" x14ac:dyDescent="0.2">
      <c r="A2" s="87">
        <v>1</v>
      </c>
      <c r="B2" s="515" t="s">
        <v>284</v>
      </c>
      <c r="C2" s="514"/>
      <c r="D2" s="448" t="s">
        <v>287</v>
      </c>
      <c r="E2" s="449"/>
      <c r="F2" s="448" t="s">
        <v>290</v>
      </c>
      <c r="G2" s="449"/>
      <c r="H2" s="455" t="s">
        <v>288</v>
      </c>
      <c r="I2" s="447"/>
      <c r="J2" s="448" t="s">
        <v>287</v>
      </c>
      <c r="K2" s="449"/>
      <c r="L2" s="446" t="s">
        <v>315</v>
      </c>
      <c r="M2" s="447"/>
      <c r="N2" s="448" t="s">
        <v>285</v>
      </c>
      <c r="O2" s="449"/>
      <c r="P2" s="448" t="s">
        <v>289</v>
      </c>
      <c r="Q2" s="449"/>
      <c r="R2" s="455" t="s">
        <v>288</v>
      </c>
      <c r="S2" s="447"/>
      <c r="T2" s="448"/>
      <c r="U2" s="449"/>
    </row>
    <row r="3" spans="1:21" x14ac:dyDescent="0.2">
      <c r="A3" s="87">
        <v>2</v>
      </c>
      <c r="B3" s="448" t="s">
        <v>287</v>
      </c>
      <c r="C3" s="449"/>
      <c r="D3" s="515" t="s">
        <v>290</v>
      </c>
      <c r="E3" s="514"/>
      <c r="F3" s="446" t="s">
        <v>288</v>
      </c>
      <c r="G3" s="447"/>
      <c r="H3" s="455" t="s">
        <v>284</v>
      </c>
      <c r="I3" s="447"/>
      <c r="J3" s="446" t="s">
        <v>288</v>
      </c>
      <c r="K3" s="447"/>
      <c r="L3" s="446" t="s">
        <v>446</v>
      </c>
      <c r="M3" s="447"/>
      <c r="N3" s="448" t="s">
        <v>288</v>
      </c>
      <c r="O3" s="449"/>
      <c r="P3" s="513" t="s">
        <v>290</v>
      </c>
      <c r="Q3" s="514"/>
      <c r="R3" s="446" t="s">
        <v>285</v>
      </c>
      <c r="S3" s="447"/>
      <c r="T3" s="455"/>
      <c r="U3" s="447"/>
    </row>
    <row r="4" spans="1:21" x14ac:dyDescent="0.2">
      <c r="A4" s="87">
        <v>3</v>
      </c>
      <c r="B4" s="448" t="s">
        <v>290</v>
      </c>
      <c r="C4" s="449"/>
      <c r="D4" s="448" t="s">
        <v>289</v>
      </c>
      <c r="E4" s="449"/>
      <c r="F4" s="448" t="s">
        <v>443</v>
      </c>
      <c r="G4" s="449"/>
      <c r="H4" s="515" t="s">
        <v>442</v>
      </c>
      <c r="I4" s="514"/>
      <c r="J4" s="448" t="s">
        <v>285</v>
      </c>
      <c r="K4" s="449"/>
      <c r="L4" s="448" t="s">
        <v>289</v>
      </c>
      <c r="M4" s="449"/>
      <c r="N4" s="446" t="s">
        <v>287</v>
      </c>
      <c r="O4" s="447"/>
      <c r="P4" s="454" t="s">
        <v>314</v>
      </c>
      <c r="Q4" s="449"/>
      <c r="R4" s="448" t="s">
        <v>289</v>
      </c>
      <c r="S4" s="449"/>
      <c r="T4" s="455"/>
      <c r="U4" s="447"/>
    </row>
    <row r="5" spans="1:21" x14ac:dyDescent="0.2">
      <c r="A5" s="87">
        <v>4</v>
      </c>
      <c r="B5" s="446" t="s">
        <v>314</v>
      </c>
      <c r="C5" s="447"/>
      <c r="D5" s="448" t="s">
        <v>442</v>
      </c>
      <c r="E5" s="449"/>
      <c r="F5" s="446" t="s">
        <v>285</v>
      </c>
      <c r="G5" s="447"/>
      <c r="H5" s="448" t="s">
        <v>287</v>
      </c>
      <c r="I5" s="449"/>
      <c r="J5" s="446" t="s">
        <v>444</v>
      </c>
      <c r="K5" s="447"/>
      <c r="L5" s="448" t="s">
        <v>314</v>
      </c>
      <c r="M5" s="449"/>
      <c r="N5" s="455" t="s">
        <v>314</v>
      </c>
      <c r="O5" s="447"/>
      <c r="P5" s="446" t="s">
        <v>284</v>
      </c>
      <c r="Q5" s="447"/>
      <c r="R5" s="446" t="s">
        <v>287</v>
      </c>
      <c r="S5" s="447"/>
      <c r="T5" s="446"/>
      <c r="U5" s="447"/>
    </row>
    <row r="6" spans="1:21" x14ac:dyDescent="0.2">
      <c r="A6" s="87">
        <v>5</v>
      </c>
      <c r="B6" s="446" t="s">
        <v>288</v>
      </c>
      <c r="C6" s="447"/>
      <c r="D6" s="457" t="s">
        <v>288</v>
      </c>
      <c r="E6" s="458"/>
      <c r="F6" s="455" t="s">
        <v>315</v>
      </c>
      <c r="G6" s="447"/>
      <c r="H6" s="446" t="s">
        <v>290</v>
      </c>
      <c r="I6" s="447"/>
      <c r="J6" s="446" t="s">
        <v>284</v>
      </c>
      <c r="K6" s="447"/>
      <c r="L6" s="448" t="s">
        <v>285</v>
      </c>
      <c r="M6" s="449"/>
      <c r="N6" s="457" t="s">
        <v>443</v>
      </c>
      <c r="O6" s="458"/>
      <c r="P6" s="455" t="s">
        <v>287</v>
      </c>
      <c r="Q6" s="447"/>
      <c r="R6" s="446" t="s">
        <v>315</v>
      </c>
      <c r="S6" s="447"/>
      <c r="T6" s="455"/>
      <c r="U6" s="447"/>
    </row>
    <row r="7" spans="1:21" x14ac:dyDescent="0.2">
      <c r="A7" s="87">
        <v>6</v>
      </c>
      <c r="B7" s="515" t="s">
        <v>315</v>
      </c>
      <c r="C7" s="514"/>
      <c r="D7" s="446" t="s">
        <v>445</v>
      </c>
      <c r="E7" s="447"/>
      <c r="F7" s="446" t="s">
        <v>314</v>
      </c>
      <c r="G7" s="447"/>
      <c r="H7" s="446" t="s">
        <v>314</v>
      </c>
      <c r="I7" s="447"/>
      <c r="J7" s="454" t="s">
        <v>289</v>
      </c>
      <c r="K7" s="449"/>
      <c r="L7" s="448" t="s">
        <v>442</v>
      </c>
      <c r="M7" s="449"/>
      <c r="N7" s="448" t="s">
        <v>284</v>
      </c>
      <c r="O7" s="449"/>
      <c r="P7" s="446" t="s">
        <v>285</v>
      </c>
      <c r="Q7" s="447"/>
      <c r="R7" s="448" t="s">
        <v>284</v>
      </c>
      <c r="S7" s="449"/>
      <c r="T7" s="446"/>
      <c r="U7" s="447"/>
    </row>
    <row r="8" spans="1:21" x14ac:dyDescent="0.2">
      <c r="A8" s="87">
        <v>7</v>
      </c>
      <c r="B8" s="448" t="s">
        <v>443</v>
      </c>
      <c r="C8" s="449"/>
      <c r="D8" s="446" t="s">
        <v>285</v>
      </c>
      <c r="E8" s="447"/>
      <c r="F8" s="512" t="s">
        <v>289</v>
      </c>
      <c r="G8" s="511"/>
      <c r="H8" s="448" t="s">
        <v>285</v>
      </c>
      <c r="I8" s="449"/>
      <c r="J8" s="455" t="s">
        <v>290</v>
      </c>
      <c r="K8" s="447"/>
      <c r="L8" s="446" t="s">
        <v>288</v>
      </c>
      <c r="M8" s="447"/>
      <c r="N8" s="513" t="s">
        <v>289</v>
      </c>
      <c r="O8" s="514"/>
      <c r="P8" s="455" t="s">
        <v>288</v>
      </c>
      <c r="Q8" s="447"/>
      <c r="R8" s="448" t="s">
        <v>314</v>
      </c>
      <c r="S8" s="449"/>
      <c r="T8" s="446"/>
      <c r="U8" s="447"/>
    </row>
    <row r="9" spans="1:21" x14ac:dyDescent="0.2">
      <c r="A9" s="87">
        <v>8</v>
      </c>
      <c r="B9" s="446" t="s">
        <v>442</v>
      </c>
      <c r="C9" s="447"/>
      <c r="D9" s="446" t="s">
        <v>314</v>
      </c>
      <c r="E9" s="447"/>
      <c r="F9" s="455" t="s">
        <v>287</v>
      </c>
      <c r="G9" s="447"/>
      <c r="H9" s="448" t="s">
        <v>289</v>
      </c>
      <c r="I9" s="449"/>
      <c r="J9" s="448" t="s">
        <v>315</v>
      </c>
      <c r="K9" s="449"/>
      <c r="L9" s="448" t="s">
        <v>290</v>
      </c>
      <c r="M9" s="449"/>
      <c r="N9" s="446" t="s">
        <v>290</v>
      </c>
      <c r="O9" s="447"/>
      <c r="P9" s="446" t="s">
        <v>442</v>
      </c>
      <c r="Q9" s="447"/>
      <c r="R9" s="446" t="s">
        <v>442</v>
      </c>
      <c r="S9" s="447"/>
      <c r="T9" s="455"/>
      <c r="U9" s="447"/>
    </row>
    <row r="10" spans="1:21" x14ac:dyDescent="0.2">
      <c r="A10" s="87">
        <v>9</v>
      </c>
      <c r="B10" s="448" t="s">
        <v>289</v>
      </c>
      <c r="C10" s="449"/>
      <c r="D10" s="454" t="s">
        <v>443</v>
      </c>
      <c r="E10" s="449"/>
      <c r="F10" s="448" t="s">
        <v>284</v>
      </c>
      <c r="G10" s="449"/>
      <c r="H10" s="446" t="s">
        <v>315</v>
      </c>
      <c r="I10" s="447"/>
      <c r="J10" s="446" t="s">
        <v>442</v>
      </c>
      <c r="K10" s="447"/>
      <c r="L10" s="446" t="s">
        <v>284</v>
      </c>
      <c r="M10" s="447"/>
      <c r="N10" s="455" t="s">
        <v>315</v>
      </c>
      <c r="O10" s="447"/>
      <c r="P10" s="448" t="s">
        <v>443</v>
      </c>
      <c r="Q10" s="449"/>
      <c r="R10" s="446" t="s">
        <v>290</v>
      </c>
      <c r="S10" s="447"/>
      <c r="T10" s="448"/>
      <c r="U10" s="449"/>
    </row>
    <row r="11" spans="1:21" x14ac:dyDescent="0.2">
      <c r="A11" s="87">
        <v>10</v>
      </c>
      <c r="B11" s="510" t="s">
        <v>285</v>
      </c>
      <c r="C11" s="511"/>
      <c r="D11" s="454" t="s">
        <v>315</v>
      </c>
      <c r="E11" s="449"/>
      <c r="F11" s="455" t="s">
        <v>442</v>
      </c>
      <c r="G11" s="447"/>
      <c r="H11" s="446" t="s">
        <v>443</v>
      </c>
      <c r="I11" s="447"/>
      <c r="J11" s="455" t="s">
        <v>443</v>
      </c>
      <c r="K11" s="447"/>
      <c r="L11" s="446" t="s">
        <v>443</v>
      </c>
      <c r="M11" s="447"/>
      <c r="N11" s="446" t="s">
        <v>442</v>
      </c>
      <c r="O11" s="447"/>
      <c r="P11" s="448" t="s">
        <v>315</v>
      </c>
      <c r="Q11" s="449"/>
      <c r="R11" s="446" t="s">
        <v>443</v>
      </c>
      <c r="S11" s="447"/>
      <c r="T11" s="448"/>
      <c r="U11" s="449"/>
    </row>
  </sheetData>
  <mergeCells count="110">
    <mergeCell ref="N1:O1"/>
    <mergeCell ref="P1:Q1"/>
    <mergeCell ref="R1:S1"/>
    <mergeCell ref="T1:U1"/>
    <mergeCell ref="B2:C2"/>
    <mergeCell ref="D2:E2"/>
    <mergeCell ref="F2:G2"/>
    <mergeCell ref="H2:I2"/>
    <mergeCell ref="J2:K2"/>
    <mergeCell ref="L2:M2"/>
    <mergeCell ref="B1:C1"/>
    <mergeCell ref="D1:E1"/>
    <mergeCell ref="F1:G1"/>
    <mergeCell ref="H1:I1"/>
    <mergeCell ref="J1:K1"/>
    <mergeCell ref="L1:M1"/>
    <mergeCell ref="N2:O2"/>
    <mergeCell ref="P2:Q2"/>
    <mergeCell ref="R2:S2"/>
    <mergeCell ref="T2:U2"/>
    <mergeCell ref="T3:U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P7:Q7"/>
    <mergeCell ref="R7:S7"/>
    <mergeCell ref="T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H9:I9"/>
    <mergeCell ref="J9:K9"/>
    <mergeCell ref="L9:M9"/>
    <mergeCell ref="N9:O9"/>
    <mergeCell ref="P9:Q9"/>
    <mergeCell ref="R9:S9"/>
    <mergeCell ref="T7:U7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B7:C7"/>
    <mergeCell ref="D7:E7"/>
    <mergeCell ref="F7:G7"/>
    <mergeCell ref="H7:I7"/>
    <mergeCell ref="J7:K7"/>
    <mergeCell ref="L7:M7"/>
    <mergeCell ref="N7:O7"/>
    <mergeCell ref="T9:U9"/>
    <mergeCell ref="B10:C10"/>
    <mergeCell ref="D10:E10"/>
    <mergeCell ref="F10:G10"/>
    <mergeCell ref="H10:I10"/>
    <mergeCell ref="J10:K10"/>
    <mergeCell ref="L10:M10"/>
    <mergeCell ref="N11:O11"/>
    <mergeCell ref="P11:Q11"/>
    <mergeCell ref="R11:S11"/>
    <mergeCell ref="T11:U11"/>
    <mergeCell ref="N10:O10"/>
    <mergeCell ref="P10:Q10"/>
    <mergeCell ref="R10:S10"/>
    <mergeCell ref="T10:U10"/>
    <mergeCell ref="B11:C11"/>
    <mergeCell ref="D11:E11"/>
    <mergeCell ref="F11:G11"/>
    <mergeCell ref="H11:I11"/>
    <mergeCell ref="J11:K11"/>
    <mergeCell ref="L11:M11"/>
    <mergeCell ref="B9:C9"/>
    <mergeCell ref="D9:E9"/>
    <mergeCell ref="F9:G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7"/>
  <sheetViews>
    <sheetView topLeftCell="A34" zoomScale="120" zoomScaleNormal="120" workbookViewId="0">
      <selection activeCell="H52" sqref="H52"/>
    </sheetView>
  </sheetViews>
  <sheetFormatPr defaultRowHeight="14.25" x14ac:dyDescent="0.2"/>
  <cols>
    <col min="1" max="1" width="11.625" bestFit="1" customWidth="1"/>
    <col min="2" max="2" width="10.625" bestFit="1" customWidth="1"/>
    <col min="3" max="3" width="10.125" bestFit="1" customWidth="1"/>
    <col min="4" max="4" width="12.625" bestFit="1" customWidth="1"/>
    <col min="5" max="5" width="10.125" bestFit="1" customWidth="1"/>
    <col min="6" max="6" width="10.5" bestFit="1" customWidth="1"/>
    <col min="7" max="7" width="9" bestFit="1" customWidth="1"/>
    <col min="8" max="9" width="11.125" bestFit="1" customWidth="1"/>
    <col min="10" max="10" width="10.75" bestFit="1" customWidth="1"/>
    <col min="11" max="11" width="11.625" bestFit="1" customWidth="1"/>
    <col min="14" max="14" width="7.875" customWidth="1"/>
  </cols>
  <sheetData>
    <row r="1" spans="1:11" x14ac:dyDescent="0.2">
      <c r="A1" s="83"/>
      <c r="B1" t="s">
        <v>314</v>
      </c>
      <c r="C1" t="s">
        <v>284</v>
      </c>
      <c r="D1" t="s">
        <v>348</v>
      </c>
      <c r="E1" t="s">
        <v>285</v>
      </c>
      <c r="F1" t="s">
        <v>286</v>
      </c>
      <c r="G1" t="s">
        <v>287</v>
      </c>
      <c r="H1" t="s">
        <v>315</v>
      </c>
      <c r="I1" t="s">
        <v>288</v>
      </c>
      <c r="J1" t="s">
        <v>289</v>
      </c>
      <c r="K1" t="s">
        <v>290</v>
      </c>
    </row>
    <row r="2" spans="1:11" x14ac:dyDescent="0.2">
      <c r="A2" s="83">
        <v>1</v>
      </c>
      <c r="B2">
        <v>1.0002000000000002</v>
      </c>
      <c r="C2">
        <v>-0.11099999999999999</v>
      </c>
      <c r="D2">
        <v>-0.11099999999999999</v>
      </c>
      <c r="E2">
        <v>1.0002000000000002</v>
      </c>
      <c r="F2">
        <v>-0.88879999999999992</v>
      </c>
      <c r="G2">
        <v>-1.6664999999999999</v>
      </c>
      <c r="H2">
        <v>-0.11109999999999999</v>
      </c>
      <c r="I2">
        <v>-0.11109999999999999</v>
      </c>
      <c r="J2">
        <v>0</v>
      </c>
      <c r="K2">
        <v>1.0002000000000002</v>
      </c>
    </row>
    <row r="3" spans="1:11" x14ac:dyDescent="0.2">
      <c r="A3" s="83">
        <v>2</v>
      </c>
      <c r="B3">
        <v>0.22260000000000024</v>
      </c>
      <c r="C3">
        <v>-0.88859999999999995</v>
      </c>
      <c r="D3">
        <v>-0.11099999999999999</v>
      </c>
      <c r="E3">
        <v>-0.44409999999999972</v>
      </c>
      <c r="F3">
        <v>1.1113000000000004</v>
      </c>
      <c r="G3">
        <v>-1.8886999999999998</v>
      </c>
      <c r="H3">
        <v>-1.5553999999999999</v>
      </c>
      <c r="I3">
        <v>0.66670000000000007</v>
      </c>
      <c r="J3">
        <v>0.33360000000000012</v>
      </c>
      <c r="K3">
        <v>1.7780000000000002</v>
      </c>
    </row>
    <row r="4" spans="1:11" x14ac:dyDescent="0.2">
      <c r="A4" s="83">
        <v>3</v>
      </c>
      <c r="B4">
        <v>-0.33289999999999975</v>
      </c>
      <c r="C4">
        <v>0.77820000000000011</v>
      </c>
      <c r="D4">
        <v>0.55590000000000006</v>
      </c>
      <c r="E4">
        <v>-1.9994999999999996</v>
      </c>
      <c r="F4">
        <v>1.7782000000000004</v>
      </c>
      <c r="G4">
        <v>-0.22189999999999976</v>
      </c>
      <c r="H4">
        <v>-2.1109</v>
      </c>
      <c r="I4">
        <v>0.11120000000000008</v>
      </c>
      <c r="J4">
        <v>0.33360000000000012</v>
      </c>
      <c r="K4">
        <v>2.4449000000000005</v>
      </c>
    </row>
    <row r="5" spans="1:11" x14ac:dyDescent="0.2">
      <c r="A5" s="83">
        <v>4</v>
      </c>
      <c r="B5">
        <v>0.66730000000000045</v>
      </c>
      <c r="C5">
        <v>0.66710000000000014</v>
      </c>
      <c r="D5">
        <v>1.5561000000000003</v>
      </c>
      <c r="E5">
        <v>-2.2215999999999996</v>
      </c>
      <c r="F5">
        <v>0.77830000000000044</v>
      </c>
      <c r="G5">
        <v>-0.33299999999999974</v>
      </c>
      <c r="H5">
        <v>-1.1106999999999998</v>
      </c>
      <c r="I5">
        <v>-0.11089999999999989</v>
      </c>
      <c r="J5">
        <v>-0.66629999999999989</v>
      </c>
      <c r="K5">
        <v>3.4451000000000009</v>
      </c>
    </row>
    <row r="6" spans="1:11" x14ac:dyDescent="0.2">
      <c r="A6" s="83">
        <v>5</v>
      </c>
      <c r="B6">
        <v>0.4451000000000005</v>
      </c>
      <c r="C6">
        <v>-0.44389999999999985</v>
      </c>
      <c r="D6">
        <v>3.5562000000000005</v>
      </c>
      <c r="E6">
        <v>-0.88809999999999945</v>
      </c>
      <c r="F6">
        <v>-1.6658999999999995</v>
      </c>
      <c r="G6">
        <v>0.33390000000000031</v>
      </c>
      <c r="H6">
        <v>-1.1106999999999998</v>
      </c>
      <c r="I6">
        <v>-0.33309999999999984</v>
      </c>
      <c r="J6">
        <v>0.66720000000000024</v>
      </c>
      <c r="K6">
        <v>3.222900000000001</v>
      </c>
    </row>
    <row r="7" spans="1:11" x14ac:dyDescent="0.2">
      <c r="A7" s="83">
        <v>6</v>
      </c>
      <c r="B7">
        <v>0.77870000000000061</v>
      </c>
      <c r="C7">
        <v>0.55630000000000035</v>
      </c>
      <c r="D7">
        <v>1.4453000000000005</v>
      </c>
      <c r="E7">
        <v>-0.77689999999999937</v>
      </c>
      <c r="F7">
        <v>1.0008000000000006</v>
      </c>
      <c r="G7">
        <v>-0.44379999999999964</v>
      </c>
      <c r="H7">
        <v>-1.1106999999999998</v>
      </c>
      <c r="I7">
        <v>-1.1107999999999998</v>
      </c>
      <c r="J7">
        <v>0.66720000000000024</v>
      </c>
      <c r="K7">
        <v>3.3341000000000012</v>
      </c>
    </row>
    <row r="8" spans="1:11" x14ac:dyDescent="0.2">
      <c r="A8" s="83">
        <v>7</v>
      </c>
      <c r="B8">
        <v>3.4454000000000007</v>
      </c>
      <c r="C8">
        <v>1.8898000000000006</v>
      </c>
      <c r="D8">
        <v>1.7789000000000006</v>
      </c>
      <c r="E8">
        <v>-2.2210999999999994</v>
      </c>
      <c r="F8">
        <v>0.33420000000000061</v>
      </c>
      <c r="G8">
        <v>-1.8879999999999995</v>
      </c>
      <c r="H8">
        <v>-1.1106999999999998</v>
      </c>
      <c r="I8">
        <v>-1.7773999999999996</v>
      </c>
      <c r="J8">
        <v>1.0008000000000004</v>
      </c>
      <c r="K8">
        <v>2.6675000000000013</v>
      </c>
    </row>
    <row r="9" spans="1:11" x14ac:dyDescent="0.2">
      <c r="A9" s="83">
        <v>8</v>
      </c>
      <c r="B9">
        <v>3.3343000000000007</v>
      </c>
      <c r="C9">
        <v>4.0010000000000012</v>
      </c>
      <c r="D9">
        <v>0.22360000000000069</v>
      </c>
      <c r="E9">
        <v>-0.88759999999999928</v>
      </c>
      <c r="F9">
        <v>6.3342000000000009</v>
      </c>
      <c r="G9">
        <v>-0.44329999999999936</v>
      </c>
      <c r="H9">
        <v>-1.2217999999999998</v>
      </c>
      <c r="I9">
        <v>-2.6661999999999995</v>
      </c>
      <c r="J9">
        <v>3.3342000000000005</v>
      </c>
      <c r="K9">
        <v>4.0010000000000012</v>
      </c>
    </row>
    <row r="10" spans="1:11" x14ac:dyDescent="0.2">
      <c r="A10" s="83">
        <v>9</v>
      </c>
      <c r="B10">
        <v>2.6677000000000008</v>
      </c>
      <c r="C10">
        <v>1.6679000000000008</v>
      </c>
      <c r="D10">
        <v>0.44590000000000074</v>
      </c>
      <c r="E10">
        <v>-0.66529999999999923</v>
      </c>
      <c r="F10">
        <v>4.6677000000000008</v>
      </c>
      <c r="G10">
        <v>-0.77659999999999929</v>
      </c>
      <c r="H10">
        <v>-1.2217999999999998</v>
      </c>
      <c r="I10">
        <v>-4.4437999999999995</v>
      </c>
      <c r="J10">
        <v>0.66780000000000062</v>
      </c>
      <c r="K10">
        <v>1.3346000000000013</v>
      </c>
    </row>
    <row r="11" spans="1:11" x14ac:dyDescent="0.2">
      <c r="A11" s="83">
        <v>10</v>
      </c>
      <c r="B11">
        <v>3.3346000000000009</v>
      </c>
      <c r="C11">
        <v>-0.7762999999999991</v>
      </c>
      <c r="D11">
        <v>0.44590000000000074</v>
      </c>
      <c r="E11">
        <v>-0.88749999999999918</v>
      </c>
      <c r="F11">
        <v>4.4455000000000009</v>
      </c>
      <c r="G11">
        <v>-0.99879999999999924</v>
      </c>
      <c r="H11">
        <v>0.77830000000000044</v>
      </c>
      <c r="I11">
        <v>-5.7769999999999992</v>
      </c>
      <c r="J11">
        <v>2.6679000000000008</v>
      </c>
      <c r="K11">
        <v>3.3347000000000016</v>
      </c>
    </row>
    <row r="12" spans="1:11" x14ac:dyDescent="0.2">
      <c r="A12" s="83">
        <v>11</v>
      </c>
      <c r="B12">
        <v>3.3346000000000009</v>
      </c>
      <c r="C12">
        <v>-0.44269999999999898</v>
      </c>
      <c r="D12">
        <v>-0.10959999999999925</v>
      </c>
      <c r="E12">
        <v>-2.5539999999999989</v>
      </c>
      <c r="F12">
        <v>6.1123000000000012</v>
      </c>
      <c r="G12">
        <v>-1.5542999999999991</v>
      </c>
      <c r="H12">
        <v>2.4451000000000005</v>
      </c>
      <c r="I12">
        <v>-4.110199999999999</v>
      </c>
      <c r="J12">
        <v>3.0015000000000009</v>
      </c>
      <c r="K12">
        <v>2.7792000000000017</v>
      </c>
    </row>
    <row r="13" spans="1:11" x14ac:dyDescent="0.2">
      <c r="A13" s="83">
        <v>12</v>
      </c>
      <c r="B13">
        <v>5.668000000000001</v>
      </c>
      <c r="C13">
        <v>-1.9979999999999989</v>
      </c>
      <c r="D13">
        <v>1.2239000000000009</v>
      </c>
      <c r="E13">
        <v>-2.6650999999999989</v>
      </c>
      <c r="F13">
        <v>6.1123000000000012</v>
      </c>
      <c r="G13">
        <v>-2.4430999999999989</v>
      </c>
      <c r="H13">
        <v>0.88980000000000059</v>
      </c>
      <c r="I13">
        <v>-2.7766999999999991</v>
      </c>
      <c r="J13">
        <v>2.1127000000000011</v>
      </c>
      <c r="K13">
        <v>2.6681000000000017</v>
      </c>
    </row>
    <row r="14" spans="1:11" x14ac:dyDescent="0.2">
      <c r="A14" s="83">
        <v>13</v>
      </c>
      <c r="B14">
        <v>3.0016000000000012</v>
      </c>
      <c r="C14">
        <v>-2.1090999999999989</v>
      </c>
      <c r="D14">
        <v>1.0018000000000009</v>
      </c>
      <c r="E14">
        <v>-1.6648999999999987</v>
      </c>
      <c r="F14">
        <v>5.890200000000001</v>
      </c>
      <c r="G14">
        <v>-5.1094999999999988</v>
      </c>
      <c r="H14">
        <v>0.66770000000000063</v>
      </c>
      <c r="I14">
        <v>-2.887799999999999</v>
      </c>
      <c r="J14">
        <v>1.8906000000000012</v>
      </c>
      <c r="K14">
        <v>3.6683000000000021</v>
      </c>
    </row>
    <row r="15" spans="1:11" x14ac:dyDescent="0.2">
      <c r="A15" s="83">
        <v>14</v>
      </c>
      <c r="B15">
        <v>5.3350000000000009</v>
      </c>
      <c r="C15">
        <v>-0.77559999999999873</v>
      </c>
      <c r="D15">
        <v>2.335300000000001</v>
      </c>
      <c r="E15">
        <v>-1.9981999999999986</v>
      </c>
      <c r="F15">
        <v>4.0015000000000009</v>
      </c>
      <c r="G15">
        <v>-5.9982999999999986</v>
      </c>
      <c r="H15">
        <v>1.0013000000000007</v>
      </c>
      <c r="I15">
        <v>-2.887799999999999</v>
      </c>
      <c r="J15">
        <v>1.0018000000000011</v>
      </c>
      <c r="K15">
        <v>4.0019000000000027</v>
      </c>
    </row>
    <row r="16" spans="1:11" x14ac:dyDescent="0.2">
      <c r="A16" s="83">
        <v>15</v>
      </c>
      <c r="B16">
        <v>3.8908000000000009</v>
      </c>
      <c r="C16">
        <v>-0.44199999999999862</v>
      </c>
      <c r="D16">
        <v>0.89110000000000111</v>
      </c>
      <c r="E16">
        <v>-1.7758999999999987</v>
      </c>
      <c r="F16">
        <v>3.3349000000000011</v>
      </c>
      <c r="G16">
        <v>-7.8869999999999987</v>
      </c>
      <c r="H16">
        <v>1.0013000000000007</v>
      </c>
      <c r="I16">
        <v>-0.22109999999999896</v>
      </c>
      <c r="J16">
        <v>1.0018000000000011</v>
      </c>
      <c r="K16">
        <v>4.2242000000000024</v>
      </c>
    </row>
    <row r="17" spans="1:11" x14ac:dyDescent="0.2">
      <c r="A17" s="83">
        <v>16</v>
      </c>
      <c r="B17">
        <v>3.1132000000000009</v>
      </c>
      <c r="C17">
        <v>-0.66419999999999857</v>
      </c>
      <c r="D17">
        <v>0.66890000000000116</v>
      </c>
      <c r="E17">
        <v>-1.4422999999999986</v>
      </c>
      <c r="F17">
        <v>3.6685000000000012</v>
      </c>
      <c r="G17">
        <v>-8.1091999999999995</v>
      </c>
      <c r="H17">
        <v>0.22370000000000079</v>
      </c>
      <c r="I17">
        <v>-0.99869999999999892</v>
      </c>
      <c r="J17">
        <v>0.22420000000000118</v>
      </c>
      <c r="K17">
        <v>6.2243000000000031</v>
      </c>
    </row>
    <row r="18" spans="1:11" x14ac:dyDescent="0.2">
      <c r="A18" s="83">
        <v>17</v>
      </c>
      <c r="B18">
        <v>4.4467000000000008</v>
      </c>
      <c r="C18">
        <v>-0.66419999999999857</v>
      </c>
      <c r="D18">
        <v>0.44670000000000121</v>
      </c>
      <c r="E18">
        <v>-1.6644999999999985</v>
      </c>
      <c r="F18">
        <v>5.0020000000000016</v>
      </c>
      <c r="G18">
        <v>-6.7756999999999996</v>
      </c>
      <c r="H18">
        <v>1.5572000000000008</v>
      </c>
      <c r="I18">
        <v>-2.1096999999999988</v>
      </c>
      <c r="J18">
        <v>-0.88679999999999881</v>
      </c>
      <c r="K18">
        <v>6.0021000000000031</v>
      </c>
    </row>
    <row r="19" spans="1:11" x14ac:dyDescent="0.2">
      <c r="A19" s="83">
        <v>18</v>
      </c>
      <c r="B19">
        <v>4.8912000000000004</v>
      </c>
      <c r="C19">
        <v>0.33600000000000163</v>
      </c>
      <c r="D19">
        <v>0.89120000000000121</v>
      </c>
      <c r="E19">
        <v>-1.2199999999999984</v>
      </c>
      <c r="F19">
        <v>5.4465000000000012</v>
      </c>
      <c r="G19">
        <v>-7.3311999999999999</v>
      </c>
      <c r="H19">
        <v>2.5574000000000012</v>
      </c>
      <c r="I19">
        <v>-2.6651999999999987</v>
      </c>
      <c r="J19">
        <v>-3.1087999999999987</v>
      </c>
      <c r="K19">
        <v>6.0021000000000031</v>
      </c>
    </row>
    <row r="20" spans="1:11" x14ac:dyDescent="0.2">
      <c r="A20" s="83">
        <v>19</v>
      </c>
      <c r="B20">
        <v>6.2247000000000003</v>
      </c>
      <c r="C20">
        <v>0.33600000000000163</v>
      </c>
      <c r="D20">
        <v>2.2247000000000012</v>
      </c>
      <c r="E20">
        <v>-3.108699999999998</v>
      </c>
      <c r="F20">
        <v>4.5577000000000014</v>
      </c>
      <c r="G20">
        <v>-4.9977999999999998</v>
      </c>
      <c r="H20">
        <v>2.8910000000000013</v>
      </c>
      <c r="I20">
        <v>-3.5539999999999985</v>
      </c>
      <c r="J20">
        <v>-3.4420999999999986</v>
      </c>
      <c r="K20">
        <v>6.0021000000000031</v>
      </c>
    </row>
    <row r="21" spans="1:11" x14ac:dyDescent="0.2">
      <c r="A21" s="83">
        <v>20</v>
      </c>
      <c r="B21">
        <v>5.8915000000000006</v>
      </c>
      <c r="C21">
        <v>2.80000000000169E-3</v>
      </c>
      <c r="D21">
        <v>2.8916000000000013</v>
      </c>
      <c r="E21">
        <v>-3.219799999999998</v>
      </c>
      <c r="F21">
        <v>3.4467000000000017</v>
      </c>
      <c r="G21">
        <v>-4.6641999999999992</v>
      </c>
      <c r="H21">
        <v>1.7800000000000014</v>
      </c>
      <c r="I21">
        <v>-3.2203999999999984</v>
      </c>
      <c r="J21">
        <v>-1.1086999999999985</v>
      </c>
      <c r="K21">
        <v>5.8910000000000027</v>
      </c>
    </row>
    <row r="22" spans="1:11" x14ac:dyDescent="0.2">
      <c r="A22" s="83">
        <v>21</v>
      </c>
      <c r="B22">
        <v>5.8915000000000006</v>
      </c>
      <c r="C22">
        <v>-0.88599999999999823</v>
      </c>
      <c r="D22">
        <v>4.2251000000000012</v>
      </c>
      <c r="E22">
        <v>-4.1085999999999983</v>
      </c>
      <c r="F22">
        <v>3.4467000000000017</v>
      </c>
      <c r="G22">
        <v>-5.552999999999999</v>
      </c>
      <c r="H22">
        <v>4.1134000000000013</v>
      </c>
      <c r="I22">
        <v>-0.88699999999999823</v>
      </c>
      <c r="J22">
        <v>-1.4419999999999984</v>
      </c>
      <c r="K22">
        <v>8.2244000000000028</v>
      </c>
    </row>
    <row r="23" spans="1:11" x14ac:dyDescent="0.2">
      <c r="A23" s="83">
        <v>22</v>
      </c>
      <c r="B23">
        <v>6.5584000000000007</v>
      </c>
      <c r="C23">
        <v>-1.1081999999999983</v>
      </c>
      <c r="D23">
        <v>2.6697000000000015</v>
      </c>
      <c r="E23">
        <v>-5.6639999999999979</v>
      </c>
      <c r="F23">
        <v>3.4467000000000017</v>
      </c>
      <c r="G23">
        <v>-5.775199999999999</v>
      </c>
      <c r="H23">
        <v>3.8912000000000013</v>
      </c>
      <c r="I23">
        <v>-0.22009999999999819</v>
      </c>
      <c r="J23">
        <v>0.55810000000000182</v>
      </c>
      <c r="K23">
        <v>9.8912000000000031</v>
      </c>
    </row>
    <row r="24" spans="1:11" x14ac:dyDescent="0.2">
      <c r="A24" s="83">
        <v>23</v>
      </c>
      <c r="B24">
        <v>6.1140000000000008</v>
      </c>
      <c r="C24">
        <v>-0.55259999999999831</v>
      </c>
      <c r="D24">
        <v>0.66990000000000172</v>
      </c>
      <c r="E24">
        <v>-4.330499999999998</v>
      </c>
      <c r="F24">
        <v>4.7802000000000016</v>
      </c>
      <c r="G24">
        <v>-6.2195999999999989</v>
      </c>
      <c r="H24">
        <v>3.4468000000000014</v>
      </c>
      <c r="I24">
        <v>-0.22009999999999819</v>
      </c>
      <c r="J24">
        <v>1.1137000000000019</v>
      </c>
      <c r="K24">
        <v>11.224700000000004</v>
      </c>
    </row>
    <row r="25" spans="1:11" ht="15" customHeight="1" x14ac:dyDescent="0.2">
      <c r="A25" s="83">
        <v>24</v>
      </c>
      <c r="B25">
        <v>8.7807000000000013</v>
      </c>
      <c r="C25">
        <v>-0.2189999999999982</v>
      </c>
      <c r="D25">
        <v>0.66990000000000172</v>
      </c>
      <c r="E25">
        <v>-5.441399999999998</v>
      </c>
      <c r="F25">
        <v>4.7802000000000016</v>
      </c>
      <c r="G25">
        <v>-7.886099999999999</v>
      </c>
      <c r="H25">
        <v>5.1136000000000017</v>
      </c>
      <c r="I25">
        <v>-0.77559999999999818</v>
      </c>
      <c r="J25">
        <v>0.55820000000000192</v>
      </c>
      <c r="K25">
        <v>10.113800000000005</v>
      </c>
    </row>
    <row r="26" spans="1:11" ht="15" customHeight="1" x14ac:dyDescent="0.2">
      <c r="A26" s="83">
        <v>25</v>
      </c>
      <c r="B26">
        <v>10.114200000000002</v>
      </c>
      <c r="C26">
        <v>1.1145000000000018</v>
      </c>
      <c r="D26">
        <v>2.0034000000000018</v>
      </c>
      <c r="E26">
        <v>-5.441399999999998</v>
      </c>
      <c r="F26">
        <v>3.8914000000000017</v>
      </c>
      <c r="G26">
        <v>-5.5526999999999989</v>
      </c>
      <c r="H26">
        <v>4.2248000000000019</v>
      </c>
      <c r="I26">
        <v>-0.77559999999999818</v>
      </c>
      <c r="J26">
        <v>-1.441599999999998</v>
      </c>
      <c r="K26">
        <v>9.7805000000000053</v>
      </c>
    </row>
    <row r="27" spans="1:11" ht="15" customHeight="1" x14ac:dyDescent="0.2">
      <c r="A27" s="83">
        <v>26</v>
      </c>
      <c r="B27">
        <v>8.6699000000000019</v>
      </c>
      <c r="C27">
        <v>1.1145000000000018</v>
      </c>
      <c r="D27">
        <v>1.5590000000000019</v>
      </c>
      <c r="E27">
        <v>-5.441399999999998</v>
      </c>
      <c r="F27">
        <v>5.8915000000000024</v>
      </c>
      <c r="G27">
        <v>-3.5525999999999986</v>
      </c>
      <c r="H27">
        <v>3.4472000000000018</v>
      </c>
      <c r="I27">
        <v>-1.2199999999999982</v>
      </c>
      <c r="J27">
        <v>-1.1079999999999979</v>
      </c>
      <c r="K27">
        <v>9.0029000000000057</v>
      </c>
    </row>
    <row r="28" spans="1:11" ht="15" customHeight="1" x14ac:dyDescent="0.2">
      <c r="A28" s="83">
        <v>27</v>
      </c>
      <c r="B28">
        <v>8.8922000000000025</v>
      </c>
      <c r="C28">
        <v>1.7814000000000019</v>
      </c>
      <c r="D28">
        <v>2.8925000000000018</v>
      </c>
      <c r="E28">
        <v>-5.441399999999998</v>
      </c>
      <c r="F28">
        <v>6.1138000000000021</v>
      </c>
      <c r="G28">
        <v>-5.8856999999999982</v>
      </c>
      <c r="H28">
        <v>1.1141000000000019</v>
      </c>
      <c r="I28">
        <v>-1.8865999999999983</v>
      </c>
      <c r="J28">
        <v>-1.7745999999999977</v>
      </c>
      <c r="K28">
        <v>10.336400000000006</v>
      </c>
    </row>
    <row r="29" spans="1:11" ht="15" customHeight="1" x14ac:dyDescent="0.2">
      <c r="A29" s="83">
        <v>28</v>
      </c>
      <c r="B29">
        <v>8.4478000000000026</v>
      </c>
      <c r="C29">
        <v>1.7814000000000019</v>
      </c>
      <c r="D29">
        <v>2.4481000000000019</v>
      </c>
      <c r="E29">
        <v>-5.8857999999999979</v>
      </c>
      <c r="F29">
        <v>7.1140000000000025</v>
      </c>
      <c r="G29">
        <v>-6.3300999999999981</v>
      </c>
      <c r="H29">
        <v>2.1143000000000018</v>
      </c>
      <c r="I29">
        <v>-0.88639999999999808</v>
      </c>
      <c r="J29">
        <v>-0.44109999999999761</v>
      </c>
      <c r="K29">
        <v>9.8920000000000066</v>
      </c>
    </row>
    <row r="30" spans="1:11" ht="15" customHeight="1" x14ac:dyDescent="0.2">
      <c r="A30" s="83">
        <v>29</v>
      </c>
      <c r="B30">
        <v>7.4479000000000024</v>
      </c>
      <c r="C30">
        <v>2.7816000000000018</v>
      </c>
      <c r="D30">
        <v>2.2260000000000018</v>
      </c>
      <c r="E30">
        <v>-4.8855999999999975</v>
      </c>
      <c r="F30">
        <v>7.4476000000000031</v>
      </c>
      <c r="G30">
        <v>-6.6633999999999984</v>
      </c>
      <c r="H30">
        <v>1.8922000000000019</v>
      </c>
      <c r="I30">
        <v>-1.8862999999999981</v>
      </c>
      <c r="J30">
        <v>-0.44109999999999761</v>
      </c>
      <c r="K30">
        <v>10.225600000000007</v>
      </c>
    </row>
    <row r="31" spans="1:11" ht="15" customHeight="1" x14ac:dyDescent="0.2">
      <c r="A31" s="83">
        <v>30</v>
      </c>
      <c r="B31">
        <v>7.2257000000000025</v>
      </c>
      <c r="C31">
        <v>4.7817000000000025</v>
      </c>
      <c r="D31">
        <v>4.2261000000000024</v>
      </c>
      <c r="E31">
        <v>-4.5519999999999978</v>
      </c>
      <c r="F31">
        <v>6.003300000000003</v>
      </c>
      <c r="G31">
        <v>-8.1076999999999977</v>
      </c>
      <c r="H31">
        <v>1.6700000000000019</v>
      </c>
      <c r="I31">
        <v>-1.8862999999999981</v>
      </c>
      <c r="J31">
        <v>-0.66329999999999756</v>
      </c>
      <c r="K31">
        <v>12.225700000000007</v>
      </c>
    </row>
    <row r="32" spans="1:11" ht="15" customHeight="1" x14ac:dyDescent="0.2">
      <c r="A32" s="83">
        <v>31</v>
      </c>
      <c r="B32">
        <v>7.2257000000000025</v>
      </c>
      <c r="C32">
        <v>5.7819000000000029</v>
      </c>
      <c r="D32">
        <v>1.5597000000000025</v>
      </c>
      <c r="E32">
        <v>-5.774099999999998</v>
      </c>
      <c r="F32">
        <v>3.3369000000000031</v>
      </c>
      <c r="G32">
        <v>-6.1075999999999979</v>
      </c>
      <c r="H32">
        <v>3.6701000000000024</v>
      </c>
      <c r="I32">
        <v>-0.88609999999999789</v>
      </c>
      <c r="J32">
        <v>-1.1076999999999975</v>
      </c>
      <c r="K32">
        <v>11.781300000000007</v>
      </c>
    </row>
    <row r="33" spans="1:11" ht="15" customHeight="1" x14ac:dyDescent="0.2">
      <c r="A33" s="83">
        <v>32</v>
      </c>
      <c r="B33">
        <v>9.5591000000000026</v>
      </c>
      <c r="C33">
        <v>7.4487000000000032</v>
      </c>
      <c r="D33">
        <v>0.44880000000000253</v>
      </c>
      <c r="E33">
        <v>-5.8851999999999984</v>
      </c>
      <c r="F33">
        <v>0.6705000000000032</v>
      </c>
      <c r="G33">
        <v>-6.2186999999999983</v>
      </c>
      <c r="H33">
        <v>3.6701000000000024</v>
      </c>
      <c r="I33">
        <v>-1.9969999999999979</v>
      </c>
      <c r="J33">
        <v>-1.8853999999999975</v>
      </c>
      <c r="K33">
        <v>13.448100000000007</v>
      </c>
    </row>
    <row r="34" spans="1:11" ht="15" customHeight="1" x14ac:dyDescent="0.2">
      <c r="A34" s="83">
        <v>33</v>
      </c>
      <c r="B34">
        <v>9.1147000000000027</v>
      </c>
      <c r="C34">
        <v>9.4488000000000039</v>
      </c>
      <c r="D34">
        <v>2.4489000000000027</v>
      </c>
      <c r="E34">
        <v>-6.5516999999999985</v>
      </c>
      <c r="F34">
        <v>1.3374000000000033</v>
      </c>
      <c r="G34">
        <v>-6.6630999999999982</v>
      </c>
      <c r="H34">
        <v>1.3370000000000024</v>
      </c>
      <c r="I34">
        <v>-4.3300999999999981</v>
      </c>
      <c r="J34">
        <v>-1.8853999999999975</v>
      </c>
      <c r="K34">
        <v>12.781600000000008</v>
      </c>
    </row>
    <row r="35" spans="1:11" ht="15" customHeight="1" x14ac:dyDescent="0.2">
      <c r="A35" s="83">
        <v>34</v>
      </c>
      <c r="B35">
        <v>11.114800000000002</v>
      </c>
      <c r="C35">
        <v>10.115700000000004</v>
      </c>
      <c r="D35">
        <v>0.11580000000000279</v>
      </c>
      <c r="E35">
        <v>-6.7738999999999985</v>
      </c>
      <c r="F35">
        <v>0.22640000000000327</v>
      </c>
      <c r="G35">
        <v>-5.3295999999999983</v>
      </c>
      <c r="H35">
        <v>1.1148000000000025</v>
      </c>
      <c r="I35">
        <v>-4.552299999999998</v>
      </c>
      <c r="J35">
        <v>-0.55189999999999739</v>
      </c>
      <c r="K35">
        <v>10.448500000000008</v>
      </c>
    </row>
    <row r="36" spans="1:11" ht="15" customHeight="1" x14ac:dyDescent="0.2">
      <c r="A36" s="83">
        <v>35</v>
      </c>
      <c r="B36">
        <f>IF($A36=$B$57,FantaCulo!$B$40,0)</f>
        <v>11.781700000000003</v>
      </c>
      <c r="C36">
        <f>IF($A36=$B$57,FantaCulo!$F$40,0)</f>
        <v>12.115800000000004</v>
      </c>
      <c r="D36">
        <f>IF($A36=$B$57,FantaCulo!$J$40,0)</f>
        <v>0.89360000000000284</v>
      </c>
      <c r="E36">
        <f>IF($A36=$B$57,FantaCulo!$N$40,0)</f>
        <v>-6.9960999999999984</v>
      </c>
      <c r="F36">
        <f>IF($A36=$B$57,FantaCulo!$R$40,0)</f>
        <v>-2.1066999999999965</v>
      </c>
      <c r="G36">
        <f>IF($A36=$B$57,FantaCulo!$V$40,0)</f>
        <v>-4.5517999999999983</v>
      </c>
      <c r="H36">
        <f>IF($A36=$B$57,FantaCulo!$Z$40,0)</f>
        <v>0.11500000000000254</v>
      </c>
      <c r="I36">
        <f>IF($A36=$B$57,FantaCulo!$AD$40,0)</f>
        <v>-6.885399999999998</v>
      </c>
      <c r="J36">
        <f>IF($A36=$B$57,FantaCulo!$AH$40,0)</f>
        <v>-2.1072999999999973</v>
      </c>
      <c r="K36">
        <f>IF($A36=$B$57,FantaCulo!$AL$40,0)</f>
        <v>9.4487000000000076</v>
      </c>
    </row>
    <row r="37" spans="1:11" ht="15" customHeight="1" x14ac:dyDescent="0.2">
      <c r="A37" s="83">
        <v>36</v>
      </c>
    </row>
    <row r="39" spans="1:11" ht="15" customHeight="1" x14ac:dyDescent="0.2">
      <c r="A39" s="180"/>
      <c r="B39" s="86" t="s">
        <v>314</v>
      </c>
      <c r="C39" s="86" t="s">
        <v>284</v>
      </c>
      <c r="D39" s="86" t="s">
        <v>348</v>
      </c>
      <c r="E39" s="86" t="s">
        <v>285</v>
      </c>
      <c r="F39" s="86" t="s">
        <v>286</v>
      </c>
      <c r="G39" s="86" t="s">
        <v>287</v>
      </c>
      <c r="H39" s="86" t="s">
        <v>315</v>
      </c>
      <c r="I39" s="86" t="s">
        <v>288</v>
      </c>
      <c r="J39" s="86" t="s">
        <v>289</v>
      </c>
      <c r="K39" s="86" t="s">
        <v>290</v>
      </c>
    </row>
    <row r="40" spans="1:11" ht="15" customHeight="1" x14ac:dyDescent="0.2">
      <c r="A40" s="180" t="s">
        <v>399</v>
      </c>
      <c r="B40" s="180">
        <f>COUNTIFS(FantaCulo!E$3:E$38,"&gt;0,2 ", FantaCulo!E$3:E$38,"&lt; 3")</f>
        <v>17</v>
      </c>
      <c r="C40" s="180">
        <f>COUNTIFS(FantaCulo!I$3:I$38,"&gt;0,2 ", FantaCulo!I$3:I$38,"&lt; 3")</f>
        <v>19</v>
      </c>
      <c r="D40" s="180">
        <f>COUNTIFS(FantaCulo!M$3:M$38,"&gt;0,2 ", FantaCulo!M$3:M$38,"&lt; 3")</f>
        <v>16</v>
      </c>
      <c r="E40" s="180">
        <f>COUNTIFS(FantaCulo!Q$3:Q$38,"&gt;0,2 ", FantaCulo!Q$3:Q$38,"&lt; 3")</f>
        <v>11</v>
      </c>
      <c r="F40" s="180">
        <f>COUNTIFS(FantaCulo!U$3:U$38,"&gt;0,2 ", FantaCulo!U$3:U$38,"&lt; 3")</f>
        <v>14</v>
      </c>
      <c r="G40" s="180">
        <f>COUNTIFS(FantaCulo!Y$3:Y$38,"&gt;0,2 ", FantaCulo!Y$3:Y$38,"&lt; 3")</f>
        <v>11</v>
      </c>
      <c r="H40" s="180">
        <f>COUNTIFS(FantaCulo!AC$3:AC$38,"&gt;0,2 ", FantaCulo!AC$3:AC$38,"&lt; 3")</f>
        <v>11</v>
      </c>
      <c r="I40" s="180">
        <f>COUNTIFS(FantaCulo!AG$3:AG$38,"&gt;0,2 ", FantaCulo!AG$3:AG$38,"&lt; 3")</f>
        <v>9</v>
      </c>
      <c r="J40" s="180">
        <f>COUNTIFS(FantaCulo!AK$3:AK$38,"&gt;0,2 ", FantaCulo!AK$3:AK$38,"&lt; 3")</f>
        <v>12</v>
      </c>
      <c r="K40" s="180">
        <f>COUNTIFS(FantaCulo!AO$3:AO$38,"&gt;0,2 ", FantaCulo!AO$3:AO$38,"&lt; 3")</f>
        <v>17</v>
      </c>
    </row>
    <row r="41" spans="1:11" ht="15" customHeight="1" x14ac:dyDescent="0.2">
      <c r="A41" s="180" t="s">
        <v>400</v>
      </c>
      <c r="B41" s="180">
        <f>COUNTIFS(FantaCulo!E$3:E$38,"&gt;-0,2 ", FantaCulo!E$3:E$38,"&lt; 0,2")</f>
        <v>4</v>
      </c>
      <c r="C41" s="180">
        <f>COUNTIFS(FantaCulo!I$3:I$38,"&gt;-0,2 ", FantaCulo!I$3:I$38,"&lt; 0,2")</f>
        <v>7</v>
      </c>
      <c r="D41" s="180">
        <f>COUNTIFS(FantaCulo!M$3:M$38,"&gt;-0,2 ", FantaCulo!M$3:M$38,"&lt; 0,2")</f>
        <v>4</v>
      </c>
      <c r="E41" s="180">
        <f>COUNTIFS(FantaCulo!Q$3:Q$38,"&gt;-0,2 ", FantaCulo!Q$3:Q$38,"&lt; 0,2")</f>
        <v>7</v>
      </c>
      <c r="F41" s="180">
        <f>COUNTIFS(FantaCulo!U$3:U$38,"&gt;-0,2 ", FantaCulo!U$3:U$38,"&lt; 0,2")</f>
        <v>4</v>
      </c>
      <c r="G41" s="180">
        <f>COUNTIFS(FantaCulo!Y$3:Y$38,"&gt;-0,2 ", FantaCulo!Y$3:Y$38,"&lt; 0,2")</f>
        <v>2</v>
      </c>
      <c r="H41" s="180">
        <f>COUNTIFS(FantaCulo!AC$3:AC$38,"&gt;-0,2 ", FantaCulo!AC$3:AC$38,"&lt; 0,2")</f>
        <v>8</v>
      </c>
      <c r="I41" s="180">
        <f>COUNTIFS(FantaCulo!AG$3:AG$38,"&gt;-0,2 ", FantaCulo!AG$3:AG$38,"&lt; 0,2")</f>
        <v>6</v>
      </c>
      <c r="J41" s="180">
        <f>COUNTIFS(FantaCulo!AK$3:AK$38,"&gt;-0,2 ", FantaCulo!AK$3:AK$38,"&lt; 0,2")</f>
        <v>6</v>
      </c>
      <c r="K41" s="180">
        <f>COUNTIFS(FantaCulo!AO$3:AO$38,"&gt;-0,2 ", FantaCulo!AO$3:AO$38,"&lt; 0,2")</f>
        <v>5</v>
      </c>
    </row>
    <row r="42" spans="1:11" ht="15" customHeight="1" x14ac:dyDescent="0.2">
      <c r="A42" s="180" t="s">
        <v>401</v>
      </c>
      <c r="B42" s="180">
        <f>COUNTIFS(FantaCulo!E$3:E$38,"&gt;-3 ", FantaCulo!E$3:E$38,"&lt; -0,2")</f>
        <v>14</v>
      </c>
      <c r="C42" s="180">
        <f>COUNTIFS(FantaCulo!I$3:I$38,"&gt;-3 ", FantaCulo!I$3:I$38,"&lt; -0,2")</f>
        <v>9</v>
      </c>
      <c r="D42" s="180">
        <f>COUNTIFS(FantaCulo!M$3:M$38,"&gt;-3 ", FantaCulo!M$3:M$38,"&lt; -0,2")</f>
        <v>15</v>
      </c>
      <c r="E42" s="180">
        <f>COUNTIFS(FantaCulo!Q$3:Q$38,"&gt;-3 ", FantaCulo!Q$3:Q$38,"&lt; -0,2")</f>
        <v>17</v>
      </c>
      <c r="F42" s="180">
        <f>COUNTIFS(FantaCulo!U$3:U$38,"&gt;-3 ", FantaCulo!U$3:U$38,"&lt; -0,2")</f>
        <v>16</v>
      </c>
      <c r="G42" s="180">
        <f>COUNTIFS(FantaCulo!Y$3:Y$38,"&gt;-3 ", FantaCulo!Y$3:Y$38,"&lt; -0,2")</f>
        <v>22</v>
      </c>
      <c r="H42" s="180">
        <f>COUNTIFS(FantaCulo!AC$3:AC$38,"&gt;-3 ", FantaCulo!AC$3:AC$38,"&lt; -0,2")</f>
        <v>16</v>
      </c>
      <c r="I42" s="180">
        <f>COUNTIFS(FantaCulo!AG$3:AG$38,"&gt;-3 ", FantaCulo!AG$3:AG$38,"&lt; -0,2")</f>
        <v>20</v>
      </c>
      <c r="J42" s="180">
        <f>COUNTIFS(FantaCulo!AK$3:AK$38,"&gt;-3 ", FantaCulo!AK$3:AK$38,"&lt; -0,2")</f>
        <v>17</v>
      </c>
      <c r="K42" s="180">
        <f>COUNTIFS(FantaCulo!AO$3:AO$38,"&gt;-3 ", FantaCulo!AO$3:AO$38,"&lt; -0,2")</f>
        <v>13</v>
      </c>
    </row>
    <row r="45" spans="1:11" ht="15" customHeight="1" x14ac:dyDescent="0.2">
      <c r="A45" s="86" t="s">
        <v>294</v>
      </c>
      <c r="B45" s="86">
        <v>25</v>
      </c>
      <c r="D45" s="86" t="s">
        <v>286</v>
      </c>
      <c r="E45" s="275">
        <v>83.5</v>
      </c>
    </row>
    <row r="46" spans="1:11" ht="15" customHeight="1" x14ac:dyDescent="0.2">
      <c r="A46" s="86" t="s">
        <v>295</v>
      </c>
      <c r="B46" s="86">
        <v>18</v>
      </c>
      <c r="D46" s="86" t="s">
        <v>314</v>
      </c>
      <c r="E46" s="275">
        <v>80</v>
      </c>
    </row>
    <row r="47" spans="1:11" ht="15" customHeight="1" x14ac:dyDescent="0.2">
      <c r="A47" s="86" t="s">
        <v>296</v>
      </c>
      <c r="B47" s="86">
        <v>15</v>
      </c>
      <c r="D47" s="86" t="s">
        <v>288</v>
      </c>
      <c r="E47" s="275">
        <v>78</v>
      </c>
    </row>
    <row r="48" spans="1:11" ht="15" customHeight="1" x14ac:dyDescent="0.2">
      <c r="A48" s="86" t="s">
        <v>297</v>
      </c>
      <c r="B48" s="86">
        <v>12</v>
      </c>
      <c r="D48" s="86" t="s">
        <v>289</v>
      </c>
      <c r="E48" s="275">
        <v>76</v>
      </c>
    </row>
    <row r="49" spans="1:5" ht="15" customHeight="1" x14ac:dyDescent="0.2">
      <c r="A49" s="86" t="s">
        <v>298</v>
      </c>
      <c r="B49" s="86">
        <v>10</v>
      </c>
      <c r="D49" s="86" t="s">
        <v>290</v>
      </c>
      <c r="E49" s="275">
        <v>74</v>
      </c>
    </row>
    <row r="50" spans="1:5" ht="15" customHeight="1" x14ac:dyDescent="0.2">
      <c r="A50" s="86" t="s">
        <v>299</v>
      </c>
      <c r="B50" s="86">
        <v>8</v>
      </c>
      <c r="D50" s="86" t="s">
        <v>315</v>
      </c>
      <c r="E50" s="275">
        <v>72.5</v>
      </c>
    </row>
    <row r="51" spans="1:5" ht="15" customHeight="1" x14ac:dyDescent="0.2">
      <c r="A51" s="86" t="s">
        <v>300</v>
      </c>
      <c r="B51" s="86">
        <v>6</v>
      </c>
      <c r="D51" s="86" t="s">
        <v>305</v>
      </c>
      <c r="E51" s="275">
        <v>71.5</v>
      </c>
    </row>
    <row r="52" spans="1:5" ht="15" customHeight="1" x14ac:dyDescent="0.2">
      <c r="A52" s="86" t="s">
        <v>301</v>
      </c>
      <c r="B52" s="86">
        <v>4</v>
      </c>
      <c r="D52" s="86" t="s">
        <v>284</v>
      </c>
      <c r="E52" s="275">
        <v>71</v>
      </c>
    </row>
    <row r="53" spans="1:5" ht="15" customHeight="1" x14ac:dyDescent="0.2">
      <c r="A53" s="86" t="s">
        <v>302</v>
      </c>
      <c r="B53" s="86">
        <v>2</v>
      </c>
      <c r="D53" s="86" t="s">
        <v>287</v>
      </c>
      <c r="E53" s="275">
        <v>65.5</v>
      </c>
    </row>
    <row r="54" spans="1:5" ht="15" customHeight="1" x14ac:dyDescent="0.2">
      <c r="A54" s="86" t="s">
        <v>303</v>
      </c>
      <c r="B54" s="86">
        <v>1</v>
      </c>
      <c r="D54" s="86" t="s">
        <v>285</v>
      </c>
      <c r="E54" s="275">
        <v>53.5</v>
      </c>
    </row>
    <row r="57" spans="1:5" x14ac:dyDescent="0.2">
      <c r="A57" s="273" t="s">
        <v>268</v>
      </c>
      <c r="B57" s="186">
        <v>35</v>
      </c>
    </row>
  </sheetData>
  <sortState ref="D45:E54">
    <sortCondition descending="1" ref="E45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EA3E-98AA-4F39-94BD-7BBE05AFA414}">
  <dimension ref="A1:AY77"/>
  <sheetViews>
    <sheetView workbookViewId="0">
      <pane ySplit="1" topLeftCell="A2" activePane="bottomLeft" state="frozen"/>
      <selection activeCell="H52" sqref="H52"/>
      <selection pane="bottomLeft" activeCell="H52" sqref="H52"/>
    </sheetView>
  </sheetViews>
  <sheetFormatPr defaultRowHeight="14.25" x14ac:dyDescent="0.2"/>
  <cols>
    <col min="1" max="1" width="7.75" bestFit="1" customWidth="1"/>
    <col min="2" max="2" width="5" bestFit="1" customWidth="1"/>
    <col min="3" max="4" width="11.375" bestFit="1" customWidth="1"/>
    <col min="5" max="5" width="18" bestFit="1" customWidth="1"/>
    <col min="6" max="6" width="9.75" bestFit="1" customWidth="1"/>
    <col min="7" max="7" width="5" bestFit="1" customWidth="1"/>
    <col min="8" max="9" width="11.375" bestFit="1" customWidth="1"/>
    <col min="10" max="10" width="18" bestFit="1" customWidth="1"/>
    <col min="11" max="11" width="9.75" bestFit="1" customWidth="1"/>
    <col min="12" max="12" width="5" bestFit="1" customWidth="1"/>
    <col min="13" max="14" width="11.375" bestFit="1" customWidth="1"/>
    <col min="15" max="15" width="18" bestFit="1" customWidth="1"/>
    <col min="16" max="16" width="9.75" bestFit="1" customWidth="1"/>
    <col min="17" max="17" width="5" bestFit="1" customWidth="1"/>
    <col min="18" max="19" width="11.375" bestFit="1" customWidth="1"/>
    <col min="20" max="20" width="18" bestFit="1" customWidth="1"/>
    <col min="21" max="21" width="9.75" bestFit="1" customWidth="1"/>
    <col min="22" max="22" width="5" bestFit="1" customWidth="1"/>
    <col min="23" max="24" width="11.375" bestFit="1" customWidth="1"/>
    <col min="25" max="25" width="18" bestFit="1" customWidth="1"/>
    <col min="26" max="26" width="9.75" bestFit="1" customWidth="1"/>
    <col min="27" max="27" width="5" bestFit="1" customWidth="1"/>
    <col min="28" max="29" width="11.375" bestFit="1" customWidth="1"/>
    <col min="30" max="30" width="18" bestFit="1" customWidth="1"/>
    <col min="31" max="31" width="9.75" bestFit="1" customWidth="1"/>
    <col min="32" max="32" width="5" bestFit="1" customWidth="1"/>
    <col min="33" max="34" width="11.375" bestFit="1" customWidth="1"/>
    <col min="35" max="35" width="18" bestFit="1" customWidth="1"/>
    <col min="36" max="36" width="9.75" bestFit="1" customWidth="1"/>
    <col min="37" max="37" width="5" bestFit="1" customWidth="1"/>
    <col min="38" max="39" width="11.375" bestFit="1" customWidth="1"/>
    <col min="40" max="40" width="18" bestFit="1" customWidth="1"/>
    <col min="41" max="41" width="9.75" bestFit="1" customWidth="1"/>
    <col min="42" max="42" width="5" bestFit="1" customWidth="1"/>
    <col min="43" max="44" width="11.375" bestFit="1" customWidth="1"/>
    <col min="45" max="45" width="18" bestFit="1" customWidth="1"/>
    <col min="46" max="46" width="9.75" bestFit="1" customWidth="1"/>
    <col min="47" max="47" width="5" bestFit="1" customWidth="1"/>
    <col min="48" max="49" width="11.375" bestFit="1" customWidth="1"/>
    <col min="50" max="50" width="18" bestFit="1" customWidth="1"/>
    <col min="51" max="51" width="9.75" bestFit="1" customWidth="1"/>
  </cols>
  <sheetData>
    <row r="1" spans="1:51" ht="15" x14ac:dyDescent="0.25">
      <c r="B1" s="518" t="s">
        <v>415</v>
      </c>
      <c r="C1" s="516"/>
      <c r="D1" s="516"/>
      <c r="E1" s="516"/>
      <c r="F1" s="423"/>
      <c r="G1" s="516" t="s">
        <v>7</v>
      </c>
      <c r="H1" s="516"/>
      <c r="I1" s="516"/>
      <c r="J1" s="516"/>
      <c r="K1" s="423"/>
      <c r="L1" s="516" t="s">
        <v>304</v>
      </c>
      <c r="M1" s="516"/>
      <c r="N1" s="516"/>
      <c r="O1" s="516"/>
      <c r="P1" s="423"/>
      <c r="Q1" s="516" t="s">
        <v>9</v>
      </c>
      <c r="R1" s="516"/>
      <c r="S1" s="516"/>
      <c r="T1" s="516"/>
      <c r="U1" s="423"/>
      <c r="V1" s="516" t="s">
        <v>10</v>
      </c>
      <c r="W1" s="516"/>
      <c r="X1" s="516"/>
      <c r="Y1" s="516"/>
      <c r="Z1" s="423"/>
      <c r="AA1" s="516" t="s">
        <v>274</v>
      </c>
      <c r="AB1" s="516"/>
      <c r="AC1" s="516"/>
      <c r="AD1" s="516"/>
      <c r="AE1" s="423"/>
      <c r="AF1" s="516" t="s">
        <v>313</v>
      </c>
      <c r="AG1" s="516"/>
      <c r="AH1" s="516"/>
      <c r="AI1" s="516"/>
      <c r="AJ1" s="423"/>
      <c r="AK1" s="516" t="s">
        <v>272</v>
      </c>
      <c r="AL1" s="516"/>
      <c r="AM1" s="516"/>
      <c r="AN1" s="516"/>
      <c r="AO1" s="423"/>
      <c r="AP1" s="516" t="s">
        <v>273</v>
      </c>
      <c r="AQ1" s="516"/>
      <c r="AR1" s="516"/>
      <c r="AS1" s="516"/>
      <c r="AT1" s="423"/>
      <c r="AU1" s="516" t="s">
        <v>13</v>
      </c>
      <c r="AV1" s="516"/>
      <c r="AW1" s="516"/>
      <c r="AX1" s="516"/>
      <c r="AY1" s="517"/>
    </row>
    <row r="2" spans="1:51" x14ac:dyDescent="0.2">
      <c r="A2" s="277" t="s">
        <v>268</v>
      </c>
      <c r="B2" s="277" t="s">
        <v>283</v>
      </c>
      <c r="C2" s="277" t="s">
        <v>416</v>
      </c>
      <c r="D2" s="277" t="s">
        <v>417</v>
      </c>
      <c r="E2" s="277" t="s">
        <v>418</v>
      </c>
      <c r="F2" s="283" t="s">
        <v>419</v>
      </c>
      <c r="G2" s="281" t="s">
        <v>283</v>
      </c>
      <c r="H2" s="277" t="s">
        <v>416</v>
      </c>
      <c r="I2" s="277" t="s">
        <v>417</v>
      </c>
      <c r="J2" s="277" t="s">
        <v>418</v>
      </c>
      <c r="K2" s="283" t="s">
        <v>419</v>
      </c>
      <c r="L2" s="281" t="s">
        <v>283</v>
      </c>
      <c r="M2" s="277" t="s">
        <v>416</v>
      </c>
      <c r="N2" s="277" t="s">
        <v>417</v>
      </c>
      <c r="O2" s="277" t="s">
        <v>418</v>
      </c>
      <c r="P2" s="283" t="s">
        <v>419</v>
      </c>
      <c r="Q2" s="281" t="s">
        <v>283</v>
      </c>
      <c r="R2" s="277" t="s">
        <v>416</v>
      </c>
      <c r="S2" s="277" t="s">
        <v>417</v>
      </c>
      <c r="T2" s="277" t="s">
        <v>418</v>
      </c>
      <c r="U2" s="283" t="s">
        <v>419</v>
      </c>
      <c r="V2" s="281" t="s">
        <v>283</v>
      </c>
      <c r="W2" s="277" t="s">
        <v>416</v>
      </c>
      <c r="X2" s="277" t="s">
        <v>417</v>
      </c>
      <c r="Y2" s="277" t="s">
        <v>418</v>
      </c>
      <c r="Z2" s="283" t="s">
        <v>419</v>
      </c>
      <c r="AA2" s="281" t="s">
        <v>283</v>
      </c>
      <c r="AB2" s="277" t="s">
        <v>416</v>
      </c>
      <c r="AC2" s="277" t="s">
        <v>417</v>
      </c>
      <c r="AD2" s="277" t="s">
        <v>418</v>
      </c>
      <c r="AE2" s="283" t="s">
        <v>419</v>
      </c>
      <c r="AF2" s="281" t="s">
        <v>283</v>
      </c>
      <c r="AG2" s="277" t="s">
        <v>416</v>
      </c>
      <c r="AH2" s="277" t="s">
        <v>417</v>
      </c>
      <c r="AI2" s="277" t="s">
        <v>418</v>
      </c>
      <c r="AJ2" s="283" t="s">
        <v>419</v>
      </c>
      <c r="AK2" s="281" t="s">
        <v>283</v>
      </c>
      <c r="AL2" s="277" t="s">
        <v>416</v>
      </c>
      <c r="AM2" s="277" t="s">
        <v>417</v>
      </c>
      <c r="AN2" s="277" t="s">
        <v>418</v>
      </c>
      <c r="AO2" s="283" t="s">
        <v>419</v>
      </c>
      <c r="AP2" s="281" t="s">
        <v>283</v>
      </c>
      <c r="AQ2" s="277" t="s">
        <v>416</v>
      </c>
      <c r="AR2" s="277" t="s">
        <v>417</v>
      </c>
      <c r="AS2" s="277" t="s">
        <v>418</v>
      </c>
      <c r="AT2" s="283" t="s">
        <v>419</v>
      </c>
      <c r="AU2" s="281" t="s">
        <v>283</v>
      </c>
      <c r="AV2" s="277" t="s">
        <v>416</v>
      </c>
      <c r="AW2" s="277" t="s">
        <v>417</v>
      </c>
      <c r="AX2" s="277" t="s">
        <v>418</v>
      </c>
      <c r="AY2" s="277" t="s">
        <v>419</v>
      </c>
    </row>
    <row r="3" spans="1:51" ht="15" x14ac:dyDescent="0.2">
      <c r="A3" s="276">
        <v>1</v>
      </c>
      <c r="B3" s="86">
        <f>Punteggio!C3</f>
        <v>3</v>
      </c>
      <c r="C3" s="86">
        <v>3</v>
      </c>
      <c r="D3" s="86">
        <f>B3</f>
        <v>3</v>
      </c>
      <c r="E3" s="86">
        <f>C3</f>
        <v>3</v>
      </c>
      <c r="F3" s="284">
        <f>D3-E3</f>
        <v>0</v>
      </c>
      <c r="G3" s="282">
        <f>Punteggio!E3</f>
        <v>1</v>
      </c>
      <c r="H3" s="86">
        <v>3</v>
      </c>
      <c r="I3" s="86">
        <f>G3</f>
        <v>1</v>
      </c>
      <c r="J3" s="86">
        <f>H3</f>
        <v>3</v>
      </c>
      <c r="K3" s="284">
        <f>I3-J3</f>
        <v>-2</v>
      </c>
      <c r="L3" s="282">
        <f>Punteggio!G3</f>
        <v>1</v>
      </c>
      <c r="M3" s="86">
        <v>0</v>
      </c>
      <c r="N3" s="86">
        <f>L3</f>
        <v>1</v>
      </c>
      <c r="O3" s="86">
        <f>M3</f>
        <v>0</v>
      </c>
      <c r="P3" s="284">
        <f>N3-O3</f>
        <v>1</v>
      </c>
      <c r="Q3" s="282">
        <f>Punteggio!I3</f>
        <v>3</v>
      </c>
      <c r="R3" s="86">
        <v>3</v>
      </c>
      <c r="S3" s="86">
        <f>Q3</f>
        <v>3</v>
      </c>
      <c r="T3" s="86">
        <f>R3</f>
        <v>3</v>
      </c>
      <c r="U3" s="284">
        <f>S3-T3</f>
        <v>0</v>
      </c>
      <c r="V3" s="282">
        <f>Punteggio!K3</f>
        <v>0</v>
      </c>
      <c r="W3" s="86">
        <v>3</v>
      </c>
      <c r="X3" s="86">
        <f>V3</f>
        <v>0</v>
      </c>
      <c r="Y3" s="86">
        <f>W3</f>
        <v>3</v>
      </c>
      <c r="Z3" s="284">
        <f>X3-Y3</f>
        <v>-3</v>
      </c>
      <c r="AA3" s="282">
        <f>Punteggio!M3</f>
        <v>0</v>
      </c>
      <c r="AB3" s="86">
        <v>0</v>
      </c>
      <c r="AC3" s="86">
        <f>AA3</f>
        <v>0</v>
      </c>
      <c r="AD3" s="86">
        <f>AB3</f>
        <v>0</v>
      </c>
      <c r="AE3" s="284">
        <f>AC3-AD3</f>
        <v>0</v>
      </c>
      <c r="AF3" s="282">
        <f>Punteggio!O3</f>
        <v>0</v>
      </c>
      <c r="AG3" s="86">
        <v>0</v>
      </c>
      <c r="AH3" s="86">
        <f>AF3</f>
        <v>0</v>
      </c>
      <c r="AI3" s="86">
        <f>AG3</f>
        <v>0</v>
      </c>
      <c r="AJ3" s="284">
        <f>AH3-AI3</f>
        <v>0</v>
      </c>
      <c r="AK3" s="282">
        <f>Punteggio!Q3</f>
        <v>0</v>
      </c>
      <c r="AL3" s="86">
        <v>0</v>
      </c>
      <c r="AM3" s="86">
        <f>AK3</f>
        <v>0</v>
      </c>
      <c r="AN3" s="86">
        <f>AL3</f>
        <v>0</v>
      </c>
      <c r="AO3" s="284">
        <f>AM3-AN3</f>
        <v>0</v>
      </c>
      <c r="AP3" s="282">
        <f>Punteggio!S3</f>
        <v>3</v>
      </c>
      <c r="AQ3" s="86">
        <v>3</v>
      </c>
      <c r="AR3" s="86">
        <f>AP3</f>
        <v>3</v>
      </c>
      <c r="AS3" s="86">
        <f>AQ3</f>
        <v>3</v>
      </c>
      <c r="AT3" s="284">
        <f>AR3-AS3</f>
        <v>0</v>
      </c>
      <c r="AU3" s="282">
        <f>Punteggio!U3</f>
        <v>3</v>
      </c>
      <c r="AV3" s="86">
        <v>0</v>
      </c>
      <c r="AW3" s="86">
        <f>AU3</f>
        <v>3</v>
      </c>
      <c r="AX3" s="86">
        <f>AV3</f>
        <v>0</v>
      </c>
      <c r="AY3" s="278">
        <f>AW3-AX3</f>
        <v>3</v>
      </c>
    </row>
    <row r="4" spans="1:51" ht="15" x14ac:dyDescent="0.2">
      <c r="A4" s="276">
        <v>2</v>
      </c>
      <c r="B4" s="86">
        <f>Punteggio!C4</f>
        <v>1</v>
      </c>
      <c r="C4" s="86">
        <v>3</v>
      </c>
      <c r="D4" s="86">
        <f>D3+B4</f>
        <v>4</v>
      </c>
      <c r="E4" s="86">
        <f>E3+C4</f>
        <v>6</v>
      </c>
      <c r="F4" s="284">
        <f t="shared" ref="F4:F37" si="0">D4-E4</f>
        <v>-2</v>
      </c>
      <c r="G4" s="282">
        <f>Punteggio!E4</f>
        <v>1</v>
      </c>
      <c r="H4" s="86">
        <v>0</v>
      </c>
      <c r="I4" s="86">
        <f>I3+G4</f>
        <v>2</v>
      </c>
      <c r="J4" s="86">
        <f>J3+H4</f>
        <v>3</v>
      </c>
      <c r="K4" s="284">
        <f t="shared" ref="K4:K37" si="1">I4-J4</f>
        <v>-1</v>
      </c>
      <c r="L4" s="282">
        <f>Punteggio!G4</f>
        <v>3</v>
      </c>
      <c r="M4" s="86">
        <v>0</v>
      </c>
      <c r="N4" s="86">
        <f>N3+L4</f>
        <v>4</v>
      </c>
      <c r="O4" s="86">
        <f>O3+M4</f>
        <v>0</v>
      </c>
      <c r="P4" s="284">
        <f t="shared" ref="P4:P37" si="2">N4-O4</f>
        <v>4</v>
      </c>
      <c r="Q4" s="282">
        <f>Punteggio!I4</f>
        <v>0</v>
      </c>
      <c r="R4" s="86">
        <v>0</v>
      </c>
      <c r="S4" s="86">
        <f>S3+Q4</f>
        <v>3</v>
      </c>
      <c r="T4" s="86">
        <f>T3+R4</f>
        <v>3</v>
      </c>
      <c r="U4" s="284">
        <f t="shared" ref="U4:U37" si="3">S4-T4</f>
        <v>0</v>
      </c>
      <c r="V4" s="282">
        <f>Punteggio!K4</f>
        <v>3</v>
      </c>
      <c r="W4" s="86">
        <v>3</v>
      </c>
      <c r="X4" s="86">
        <f>X3+V4</f>
        <v>3</v>
      </c>
      <c r="Y4" s="86">
        <f>Y3+W4</f>
        <v>6</v>
      </c>
      <c r="Z4" s="284">
        <f t="shared" ref="Z4:Z37" si="4">X4-Y4</f>
        <v>-3</v>
      </c>
      <c r="AA4" s="282">
        <f>Punteggio!M4</f>
        <v>0</v>
      </c>
      <c r="AB4" s="86">
        <v>1</v>
      </c>
      <c r="AC4" s="86">
        <f>AC3+AA4</f>
        <v>0</v>
      </c>
      <c r="AD4" s="86">
        <f>AD3+AB4</f>
        <v>1</v>
      </c>
      <c r="AE4" s="284">
        <f t="shared" ref="AE4:AE37" si="5">AC4-AD4</f>
        <v>-1</v>
      </c>
      <c r="AF4" s="282">
        <f>Punteggio!O4</f>
        <v>0</v>
      </c>
      <c r="AG4" s="86">
        <v>1</v>
      </c>
      <c r="AH4" s="86">
        <f>AH3+AF4</f>
        <v>0</v>
      </c>
      <c r="AI4" s="86">
        <f>AI3+AG4</f>
        <v>1</v>
      </c>
      <c r="AJ4" s="284">
        <f t="shared" ref="AJ4:AJ37" si="6">AH4-AI4</f>
        <v>-1</v>
      </c>
      <c r="AK4" s="282">
        <f>Punteggio!Q4</f>
        <v>1</v>
      </c>
      <c r="AL4" s="86">
        <v>1</v>
      </c>
      <c r="AM4" s="86">
        <f>AM3+AK4</f>
        <v>1</v>
      </c>
      <c r="AN4" s="86">
        <f>AN3+AL4</f>
        <v>1</v>
      </c>
      <c r="AO4" s="284">
        <f t="shared" ref="AO4:AO37" si="7">AM4-AN4</f>
        <v>0</v>
      </c>
      <c r="AP4" s="282">
        <f>Punteggio!S4</f>
        <v>3</v>
      </c>
      <c r="AQ4" s="86">
        <v>3</v>
      </c>
      <c r="AR4" s="86">
        <f>AR3+AP4</f>
        <v>6</v>
      </c>
      <c r="AS4" s="86">
        <f>AS3+AQ4</f>
        <v>6</v>
      </c>
      <c r="AT4" s="284">
        <f t="shared" ref="AT4:AT37" si="8">AR4-AS4</f>
        <v>0</v>
      </c>
      <c r="AU4" s="282">
        <f>Punteggio!U4</f>
        <v>1</v>
      </c>
      <c r="AV4" s="86">
        <v>1</v>
      </c>
      <c r="AW4" s="86">
        <f>AW3+AU4</f>
        <v>4</v>
      </c>
      <c r="AX4" s="86">
        <f>AX3+AV4</f>
        <v>1</v>
      </c>
      <c r="AY4" s="278">
        <f t="shared" ref="AY4:AY37" si="9">AW4-AX4</f>
        <v>3</v>
      </c>
    </row>
    <row r="5" spans="1:51" ht="15" x14ac:dyDescent="0.2">
      <c r="A5" s="276">
        <v>3</v>
      </c>
      <c r="B5" s="86">
        <f>Punteggio!C5</f>
        <v>0</v>
      </c>
      <c r="C5" s="86">
        <v>1</v>
      </c>
      <c r="D5" s="86">
        <f t="shared" ref="D5:E20" si="10">D4+B5</f>
        <v>4</v>
      </c>
      <c r="E5" s="86">
        <f t="shared" si="10"/>
        <v>7</v>
      </c>
      <c r="F5" s="284">
        <f t="shared" si="0"/>
        <v>-3</v>
      </c>
      <c r="G5" s="282">
        <f>Punteggio!E5</f>
        <v>3</v>
      </c>
      <c r="H5" s="86">
        <v>0</v>
      </c>
      <c r="I5" s="285">
        <f t="shared" ref="I5:I37" si="11">I4+G5</f>
        <v>5</v>
      </c>
      <c r="J5" s="86">
        <f t="shared" ref="J5:J37" si="12">J4+H5</f>
        <v>3</v>
      </c>
      <c r="K5" s="286">
        <f t="shared" si="1"/>
        <v>2</v>
      </c>
      <c r="L5" s="282">
        <f>Punteggio!G5</f>
        <v>3</v>
      </c>
      <c r="M5" s="86">
        <v>1</v>
      </c>
      <c r="N5" s="86">
        <f t="shared" ref="N5:N37" si="13">N4+L5</f>
        <v>7</v>
      </c>
      <c r="O5" s="86">
        <f t="shared" ref="O5:O37" si="14">O4+M5</f>
        <v>1</v>
      </c>
      <c r="P5" s="284">
        <f t="shared" si="2"/>
        <v>6</v>
      </c>
      <c r="Q5" s="282">
        <f>Punteggio!I5</f>
        <v>0</v>
      </c>
      <c r="R5" s="86">
        <v>3</v>
      </c>
      <c r="S5" s="86">
        <f t="shared" ref="S5:S37" si="15">S4+Q5</f>
        <v>3</v>
      </c>
      <c r="T5" s="86">
        <f t="shared" ref="T5:T37" si="16">T4+R5</f>
        <v>6</v>
      </c>
      <c r="U5" s="284">
        <f t="shared" si="3"/>
        <v>-3</v>
      </c>
      <c r="V5" s="282">
        <f>Punteggio!K5</f>
        <v>3</v>
      </c>
      <c r="W5" s="86">
        <v>0</v>
      </c>
      <c r="X5" s="86">
        <f t="shared" ref="X5:X37" si="17">X4+V5</f>
        <v>6</v>
      </c>
      <c r="Y5" s="86">
        <f t="shared" ref="Y5:Y37" si="18">Y4+W5</f>
        <v>6</v>
      </c>
      <c r="Z5" s="284">
        <f t="shared" si="4"/>
        <v>0</v>
      </c>
      <c r="AA5" s="282">
        <f>Punteggio!M5</f>
        <v>3</v>
      </c>
      <c r="AB5" s="86">
        <v>3</v>
      </c>
      <c r="AC5" s="86">
        <f t="shared" ref="AC5:AC37" si="19">AC4+AA5</f>
        <v>3</v>
      </c>
      <c r="AD5" s="86">
        <f t="shared" ref="AD5:AD37" si="20">AD4+AB5</f>
        <v>4</v>
      </c>
      <c r="AE5" s="284">
        <f t="shared" si="5"/>
        <v>-1</v>
      </c>
      <c r="AF5" s="282">
        <f>Punteggio!O5</f>
        <v>0</v>
      </c>
      <c r="AG5" s="86">
        <v>1</v>
      </c>
      <c r="AH5" s="86">
        <f t="shared" ref="AH5:AH37" si="21">AH4+AF5</f>
        <v>0</v>
      </c>
      <c r="AI5" s="86">
        <f t="shared" ref="AI5:AI37" si="22">AI4+AG5</f>
        <v>2</v>
      </c>
      <c r="AJ5" s="284">
        <f t="shared" si="6"/>
        <v>-2</v>
      </c>
      <c r="AK5" s="282">
        <f>Punteggio!Q5</f>
        <v>0</v>
      </c>
      <c r="AL5" s="86">
        <v>0</v>
      </c>
      <c r="AM5" s="86">
        <f t="shared" ref="AM5:AM37" si="23">AM4+AK5</f>
        <v>1</v>
      </c>
      <c r="AN5" s="86">
        <f t="shared" ref="AN5:AN37" si="24">AN4+AL5</f>
        <v>1</v>
      </c>
      <c r="AO5" s="284">
        <f t="shared" si="7"/>
        <v>0</v>
      </c>
      <c r="AP5" s="282">
        <f>Punteggio!S5</f>
        <v>0</v>
      </c>
      <c r="AQ5" s="86">
        <v>1</v>
      </c>
      <c r="AR5" s="86">
        <f t="shared" ref="AR5:AR37" si="25">AR4+AP5</f>
        <v>6</v>
      </c>
      <c r="AS5" s="86">
        <f t="shared" ref="AS5:AS37" si="26">AS4+AQ5</f>
        <v>7</v>
      </c>
      <c r="AT5" s="284">
        <f t="shared" si="8"/>
        <v>-1</v>
      </c>
      <c r="AU5" s="282">
        <f>Punteggio!U5</f>
        <v>3</v>
      </c>
      <c r="AV5" s="86">
        <v>3</v>
      </c>
      <c r="AW5" s="86">
        <f t="shared" ref="AW5:AW37" si="27">AW4+AU5</f>
        <v>7</v>
      </c>
      <c r="AX5" s="86">
        <f t="shared" ref="AX5:AX37" si="28">AX4+AV5</f>
        <v>4</v>
      </c>
      <c r="AY5" s="278">
        <f t="shared" si="9"/>
        <v>3</v>
      </c>
    </row>
    <row r="6" spans="1:51" ht="15" x14ac:dyDescent="0.2">
      <c r="A6" s="276">
        <v>4</v>
      </c>
      <c r="B6" s="86">
        <f>Punteggio!C6</f>
        <v>3</v>
      </c>
      <c r="C6" s="86">
        <v>0</v>
      </c>
      <c r="D6" s="86">
        <f t="shared" si="10"/>
        <v>7</v>
      </c>
      <c r="E6" s="86">
        <f t="shared" si="10"/>
        <v>7</v>
      </c>
      <c r="F6" s="284">
        <f t="shared" si="0"/>
        <v>0</v>
      </c>
      <c r="G6" s="282">
        <f>Punteggio!E6</f>
        <v>0</v>
      </c>
      <c r="H6" s="86">
        <v>3</v>
      </c>
      <c r="I6" s="285">
        <f t="shared" si="11"/>
        <v>5</v>
      </c>
      <c r="J6" s="86">
        <f t="shared" si="12"/>
        <v>6</v>
      </c>
      <c r="K6" s="286">
        <f t="shared" si="1"/>
        <v>-1</v>
      </c>
      <c r="L6" s="282">
        <f>Punteggio!G6</f>
        <v>3</v>
      </c>
      <c r="M6" s="86">
        <v>0</v>
      </c>
      <c r="N6" s="86">
        <f t="shared" si="13"/>
        <v>10</v>
      </c>
      <c r="O6" s="86">
        <f t="shared" si="14"/>
        <v>1</v>
      </c>
      <c r="P6" s="284">
        <f t="shared" si="2"/>
        <v>9</v>
      </c>
      <c r="Q6" s="282">
        <f>Punteggio!I6</f>
        <v>1</v>
      </c>
      <c r="R6" s="86">
        <v>1</v>
      </c>
      <c r="S6" s="86">
        <f t="shared" si="15"/>
        <v>4</v>
      </c>
      <c r="T6" s="86">
        <f t="shared" si="16"/>
        <v>7</v>
      </c>
      <c r="U6" s="284">
        <f t="shared" si="3"/>
        <v>-3</v>
      </c>
      <c r="V6" s="282">
        <f>Punteggio!K6</f>
        <v>0</v>
      </c>
      <c r="W6" s="86">
        <v>0</v>
      </c>
      <c r="X6" s="86">
        <f t="shared" si="17"/>
        <v>6</v>
      </c>
      <c r="Y6" s="86">
        <f t="shared" si="18"/>
        <v>6</v>
      </c>
      <c r="Z6" s="284">
        <f t="shared" si="4"/>
        <v>0</v>
      </c>
      <c r="AA6" s="282">
        <f>Punteggio!M6</f>
        <v>0</v>
      </c>
      <c r="AB6" s="86">
        <v>1</v>
      </c>
      <c r="AC6" s="86">
        <f t="shared" si="19"/>
        <v>3</v>
      </c>
      <c r="AD6" s="86">
        <f t="shared" si="20"/>
        <v>5</v>
      </c>
      <c r="AE6" s="284">
        <f t="shared" si="5"/>
        <v>-2</v>
      </c>
      <c r="AF6" s="282">
        <f>Punteggio!O6</f>
        <v>3</v>
      </c>
      <c r="AG6" s="86">
        <v>0</v>
      </c>
      <c r="AH6" s="86">
        <f t="shared" si="21"/>
        <v>3</v>
      </c>
      <c r="AI6" s="86">
        <f t="shared" si="22"/>
        <v>2</v>
      </c>
      <c r="AJ6" s="284">
        <f t="shared" si="6"/>
        <v>1</v>
      </c>
      <c r="AK6" s="282">
        <f>Punteggio!Q6</f>
        <v>1</v>
      </c>
      <c r="AL6" s="86">
        <v>3</v>
      </c>
      <c r="AM6" s="86">
        <f t="shared" si="23"/>
        <v>2</v>
      </c>
      <c r="AN6" s="86">
        <f t="shared" si="24"/>
        <v>4</v>
      </c>
      <c r="AO6" s="284">
        <f t="shared" si="7"/>
        <v>-2</v>
      </c>
      <c r="AP6" s="282">
        <f>Punteggio!S6</f>
        <v>0</v>
      </c>
      <c r="AQ6" s="86">
        <v>3</v>
      </c>
      <c r="AR6" s="86">
        <f t="shared" si="25"/>
        <v>6</v>
      </c>
      <c r="AS6" s="86">
        <f t="shared" si="26"/>
        <v>10</v>
      </c>
      <c r="AT6" s="284">
        <f t="shared" si="8"/>
        <v>-4</v>
      </c>
      <c r="AU6" s="282">
        <f>Punteggio!U6</f>
        <v>3</v>
      </c>
      <c r="AV6" s="86">
        <v>3</v>
      </c>
      <c r="AW6" s="86">
        <f t="shared" si="27"/>
        <v>10</v>
      </c>
      <c r="AX6" s="86">
        <f t="shared" si="28"/>
        <v>7</v>
      </c>
      <c r="AY6" s="278">
        <f t="shared" si="9"/>
        <v>3</v>
      </c>
    </row>
    <row r="7" spans="1:51" ht="15" x14ac:dyDescent="0.2">
      <c r="A7" s="276">
        <v>5</v>
      </c>
      <c r="B7" s="86">
        <f>Punteggio!C7</f>
        <v>0</v>
      </c>
      <c r="C7" s="86">
        <v>1</v>
      </c>
      <c r="D7" s="86">
        <f t="shared" si="10"/>
        <v>7</v>
      </c>
      <c r="E7" s="86">
        <f t="shared" si="10"/>
        <v>8</v>
      </c>
      <c r="F7" s="284">
        <f t="shared" si="0"/>
        <v>-1</v>
      </c>
      <c r="G7" s="282">
        <f>Punteggio!E7</f>
        <v>0</v>
      </c>
      <c r="H7" s="86">
        <v>3</v>
      </c>
      <c r="I7" s="285">
        <f t="shared" si="11"/>
        <v>5</v>
      </c>
      <c r="J7" s="86">
        <f t="shared" si="12"/>
        <v>9</v>
      </c>
      <c r="K7" s="286">
        <f t="shared" si="1"/>
        <v>-4</v>
      </c>
      <c r="L7" s="282">
        <f>Punteggio!G7</f>
        <v>3</v>
      </c>
      <c r="M7" s="86">
        <v>1</v>
      </c>
      <c r="N7" s="86">
        <f t="shared" si="13"/>
        <v>13</v>
      </c>
      <c r="O7" s="86">
        <f t="shared" si="14"/>
        <v>2</v>
      </c>
      <c r="P7" s="284">
        <f t="shared" si="2"/>
        <v>11</v>
      </c>
      <c r="Q7" s="282">
        <f>Punteggio!I7</f>
        <v>3</v>
      </c>
      <c r="R7" s="86">
        <v>3</v>
      </c>
      <c r="S7" s="86">
        <f t="shared" si="15"/>
        <v>7</v>
      </c>
      <c r="T7" s="86">
        <f t="shared" si="16"/>
        <v>10</v>
      </c>
      <c r="U7" s="284">
        <f t="shared" si="3"/>
        <v>-3</v>
      </c>
      <c r="V7" s="282">
        <f>Punteggio!K7</f>
        <v>0</v>
      </c>
      <c r="W7" s="86">
        <v>0</v>
      </c>
      <c r="X7" s="86">
        <f t="shared" si="17"/>
        <v>6</v>
      </c>
      <c r="Y7" s="86">
        <f t="shared" si="18"/>
        <v>6</v>
      </c>
      <c r="Z7" s="284">
        <f t="shared" si="4"/>
        <v>0</v>
      </c>
      <c r="AA7" s="282">
        <f>Punteggio!M7</f>
        <v>3</v>
      </c>
      <c r="AB7" s="86">
        <v>0</v>
      </c>
      <c r="AC7" s="86">
        <f t="shared" si="19"/>
        <v>6</v>
      </c>
      <c r="AD7" s="86">
        <f t="shared" si="20"/>
        <v>5</v>
      </c>
      <c r="AE7" s="284">
        <f t="shared" si="5"/>
        <v>1</v>
      </c>
      <c r="AF7" s="282">
        <f>Punteggio!O7</f>
        <v>3</v>
      </c>
      <c r="AG7" s="86">
        <v>3</v>
      </c>
      <c r="AH7" s="86">
        <f t="shared" si="21"/>
        <v>6</v>
      </c>
      <c r="AI7" s="86">
        <f t="shared" si="22"/>
        <v>5</v>
      </c>
      <c r="AJ7" s="284">
        <f t="shared" si="6"/>
        <v>1</v>
      </c>
      <c r="AK7" s="282">
        <f>Punteggio!Q7</f>
        <v>0</v>
      </c>
      <c r="AL7" s="86">
        <v>0</v>
      </c>
      <c r="AM7" s="86">
        <f t="shared" si="23"/>
        <v>2</v>
      </c>
      <c r="AN7" s="86">
        <f t="shared" si="24"/>
        <v>4</v>
      </c>
      <c r="AO7" s="284">
        <f t="shared" si="7"/>
        <v>-2</v>
      </c>
      <c r="AP7" s="282">
        <f>Punteggio!S7</f>
        <v>3</v>
      </c>
      <c r="AQ7" s="86">
        <v>0</v>
      </c>
      <c r="AR7" s="86">
        <f t="shared" si="25"/>
        <v>9</v>
      </c>
      <c r="AS7" s="86">
        <f t="shared" si="26"/>
        <v>10</v>
      </c>
      <c r="AT7" s="284">
        <f t="shared" si="8"/>
        <v>-1</v>
      </c>
      <c r="AU7" s="282">
        <f>Punteggio!U7</f>
        <v>0</v>
      </c>
      <c r="AV7" s="86">
        <v>3</v>
      </c>
      <c r="AW7" s="86">
        <f t="shared" si="27"/>
        <v>10</v>
      </c>
      <c r="AX7" s="86">
        <f t="shared" si="28"/>
        <v>10</v>
      </c>
      <c r="AY7" s="278">
        <f t="shared" si="9"/>
        <v>0</v>
      </c>
    </row>
    <row r="8" spans="1:51" ht="15" x14ac:dyDescent="0.2">
      <c r="A8" s="276">
        <v>6</v>
      </c>
      <c r="B8" s="86">
        <f>Punteggio!C8</f>
        <v>3</v>
      </c>
      <c r="C8" s="86">
        <v>0</v>
      </c>
      <c r="D8" s="86">
        <f t="shared" si="10"/>
        <v>10</v>
      </c>
      <c r="E8" s="86">
        <f t="shared" si="10"/>
        <v>8</v>
      </c>
      <c r="F8" s="284">
        <f t="shared" si="0"/>
        <v>2</v>
      </c>
      <c r="G8" s="282">
        <f>Punteggio!E8</f>
        <v>3</v>
      </c>
      <c r="H8" s="86">
        <v>3</v>
      </c>
      <c r="I8" s="86">
        <f t="shared" si="11"/>
        <v>8</v>
      </c>
      <c r="J8" s="86">
        <f t="shared" si="12"/>
        <v>12</v>
      </c>
      <c r="K8" s="284">
        <f t="shared" si="1"/>
        <v>-4</v>
      </c>
      <c r="L8" s="282">
        <f>Punteggio!G8</f>
        <v>0</v>
      </c>
      <c r="M8" s="86">
        <v>1</v>
      </c>
      <c r="N8" s="86">
        <f t="shared" si="13"/>
        <v>13</v>
      </c>
      <c r="O8" s="86">
        <f t="shared" si="14"/>
        <v>3</v>
      </c>
      <c r="P8" s="284">
        <f t="shared" si="2"/>
        <v>10</v>
      </c>
      <c r="Q8" s="282">
        <f>Punteggio!I8</f>
        <v>1</v>
      </c>
      <c r="R8" s="86">
        <v>3</v>
      </c>
      <c r="S8" s="86">
        <f t="shared" si="15"/>
        <v>8</v>
      </c>
      <c r="T8" s="86">
        <f t="shared" si="16"/>
        <v>13</v>
      </c>
      <c r="U8" s="284">
        <f t="shared" si="3"/>
        <v>-5</v>
      </c>
      <c r="V8" s="282">
        <f>Punteggio!K8</f>
        <v>3</v>
      </c>
      <c r="W8" s="86">
        <v>0</v>
      </c>
      <c r="X8" s="86">
        <f t="shared" si="17"/>
        <v>9</v>
      </c>
      <c r="Y8" s="86">
        <f t="shared" si="18"/>
        <v>6</v>
      </c>
      <c r="Z8" s="284">
        <f t="shared" si="4"/>
        <v>3</v>
      </c>
      <c r="AA8" s="282">
        <f>Punteggio!M8</f>
        <v>0</v>
      </c>
      <c r="AB8" s="86">
        <v>0</v>
      </c>
      <c r="AC8" s="86">
        <f t="shared" si="19"/>
        <v>6</v>
      </c>
      <c r="AD8" s="86">
        <f t="shared" si="20"/>
        <v>5</v>
      </c>
      <c r="AE8" s="284">
        <f t="shared" si="5"/>
        <v>1</v>
      </c>
      <c r="AF8" s="282">
        <f>Punteggio!O8</f>
        <v>3</v>
      </c>
      <c r="AG8" s="86">
        <v>0</v>
      </c>
      <c r="AH8" s="86">
        <f t="shared" si="21"/>
        <v>9</v>
      </c>
      <c r="AI8" s="86">
        <f t="shared" si="22"/>
        <v>5</v>
      </c>
      <c r="AJ8" s="284">
        <f t="shared" si="6"/>
        <v>4</v>
      </c>
      <c r="AK8" s="282">
        <f>Punteggio!Q8</f>
        <v>0</v>
      </c>
      <c r="AL8" s="86">
        <v>1</v>
      </c>
      <c r="AM8" s="86">
        <f t="shared" si="23"/>
        <v>2</v>
      </c>
      <c r="AN8" s="86">
        <f t="shared" si="24"/>
        <v>5</v>
      </c>
      <c r="AO8" s="284">
        <f t="shared" si="7"/>
        <v>-3</v>
      </c>
      <c r="AP8" s="282">
        <f>Punteggio!S8</f>
        <v>0</v>
      </c>
      <c r="AQ8" s="86">
        <v>3</v>
      </c>
      <c r="AR8" s="86">
        <f t="shared" si="25"/>
        <v>9</v>
      </c>
      <c r="AS8" s="86">
        <f t="shared" si="26"/>
        <v>13</v>
      </c>
      <c r="AT8" s="284">
        <f t="shared" si="8"/>
        <v>-4</v>
      </c>
      <c r="AU8" s="282">
        <f>Punteggio!U8</f>
        <v>1</v>
      </c>
      <c r="AV8" s="86">
        <v>3</v>
      </c>
      <c r="AW8" s="86">
        <f t="shared" si="27"/>
        <v>11</v>
      </c>
      <c r="AX8" s="86">
        <f t="shared" si="28"/>
        <v>13</v>
      </c>
      <c r="AY8" s="278">
        <f t="shared" si="9"/>
        <v>-2</v>
      </c>
    </row>
    <row r="9" spans="1:51" ht="15" x14ac:dyDescent="0.2">
      <c r="A9" s="276">
        <v>7</v>
      </c>
      <c r="B9" s="86">
        <f>Punteggio!C9</f>
        <v>3</v>
      </c>
      <c r="C9" s="86">
        <v>0</v>
      </c>
      <c r="D9" s="86">
        <f t="shared" si="10"/>
        <v>13</v>
      </c>
      <c r="E9" s="86">
        <f t="shared" si="10"/>
        <v>8</v>
      </c>
      <c r="F9" s="284">
        <f t="shared" si="0"/>
        <v>5</v>
      </c>
      <c r="G9" s="282">
        <f>Punteggio!E9</f>
        <v>3</v>
      </c>
      <c r="H9" s="86">
        <v>1</v>
      </c>
      <c r="I9" s="86">
        <f t="shared" si="11"/>
        <v>11</v>
      </c>
      <c r="J9" s="86">
        <f t="shared" si="12"/>
        <v>13</v>
      </c>
      <c r="K9" s="284">
        <f t="shared" si="1"/>
        <v>-2</v>
      </c>
      <c r="L9" s="282">
        <f>Punteggio!G9</f>
        <v>3</v>
      </c>
      <c r="M9" s="86">
        <v>3</v>
      </c>
      <c r="N9" s="86">
        <f t="shared" si="13"/>
        <v>16</v>
      </c>
      <c r="O9" s="86">
        <f t="shared" si="14"/>
        <v>6</v>
      </c>
      <c r="P9" s="284">
        <f t="shared" si="2"/>
        <v>10</v>
      </c>
      <c r="Q9" s="282">
        <f>Punteggio!I9</f>
        <v>1</v>
      </c>
      <c r="R9" s="86">
        <v>1</v>
      </c>
      <c r="S9" s="86">
        <f t="shared" si="15"/>
        <v>9</v>
      </c>
      <c r="T9" s="86">
        <f t="shared" si="16"/>
        <v>14</v>
      </c>
      <c r="U9" s="284">
        <f t="shared" si="3"/>
        <v>-5</v>
      </c>
      <c r="V9" s="282">
        <f>Punteggio!K9</f>
        <v>0</v>
      </c>
      <c r="W9" s="86">
        <v>0</v>
      </c>
      <c r="X9" s="86">
        <f t="shared" si="17"/>
        <v>9</v>
      </c>
      <c r="Y9" s="86">
        <f t="shared" si="18"/>
        <v>6</v>
      </c>
      <c r="Z9" s="284">
        <f t="shared" si="4"/>
        <v>3</v>
      </c>
      <c r="AA9" s="282">
        <f>Punteggio!M9</f>
        <v>1</v>
      </c>
      <c r="AB9" s="86">
        <v>0</v>
      </c>
      <c r="AC9" s="86">
        <f t="shared" si="19"/>
        <v>7</v>
      </c>
      <c r="AD9" s="86">
        <f t="shared" si="20"/>
        <v>5</v>
      </c>
      <c r="AE9" s="284">
        <f t="shared" si="5"/>
        <v>2</v>
      </c>
      <c r="AF9" s="282">
        <f>Punteggio!O9</f>
        <v>0</v>
      </c>
      <c r="AG9" s="86">
        <v>3</v>
      </c>
      <c r="AH9" s="86">
        <f t="shared" si="21"/>
        <v>9</v>
      </c>
      <c r="AI9" s="86">
        <f t="shared" si="22"/>
        <v>8</v>
      </c>
      <c r="AJ9" s="284">
        <f t="shared" si="6"/>
        <v>1</v>
      </c>
      <c r="AK9" s="282">
        <f>Punteggio!Q9</f>
        <v>0</v>
      </c>
      <c r="AL9" s="86">
        <v>3</v>
      </c>
      <c r="AM9" s="86">
        <f t="shared" si="23"/>
        <v>2</v>
      </c>
      <c r="AN9" s="86">
        <f t="shared" si="24"/>
        <v>8</v>
      </c>
      <c r="AO9" s="284">
        <f t="shared" si="7"/>
        <v>-6</v>
      </c>
      <c r="AP9" s="282">
        <f>Punteggio!S9</f>
        <v>3</v>
      </c>
      <c r="AQ9" s="86">
        <v>0</v>
      </c>
      <c r="AR9" s="86">
        <f t="shared" si="25"/>
        <v>12</v>
      </c>
      <c r="AS9" s="86">
        <f t="shared" si="26"/>
        <v>13</v>
      </c>
      <c r="AT9" s="284">
        <f t="shared" si="8"/>
        <v>-1</v>
      </c>
      <c r="AU9" s="282">
        <f>Punteggio!U9</f>
        <v>0</v>
      </c>
      <c r="AV9" s="86">
        <v>3</v>
      </c>
      <c r="AW9" s="86">
        <f t="shared" si="27"/>
        <v>11</v>
      </c>
      <c r="AX9" s="86">
        <f t="shared" si="28"/>
        <v>16</v>
      </c>
      <c r="AY9" s="278">
        <f t="shared" si="9"/>
        <v>-5</v>
      </c>
    </row>
    <row r="10" spans="1:51" ht="15" x14ac:dyDescent="0.2">
      <c r="A10" s="276">
        <v>8</v>
      </c>
      <c r="B10" s="86">
        <f>Punteggio!C10</f>
        <v>0</v>
      </c>
      <c r="C10" s="86">
        <v>0</v>
      </c>
      <c r="D10" s="86">
        <f t="shared" si="10"/>
        <v>13</v>
      </c>
      <c r="E10" s="86">
        <f t="shared" si="10"/>
        <v>8</v>
      </c>
      <c r="F10" s="284">
        <f t="shared" si="0"/>
        <v>5</v>
      </c>
      <c r="G10" s="282">
        <f>Punteggio!E10</f>
        <v>0</v>
      </c>
      <c r="H10" s="86">
        <v>1</v>
      </c>
      <c r="I10" s="86">
        <f t="shared" si="11"/>
        <v>11</v>
      </c>
      <c r="J10" s="86">
        <f t="shared" si="12"/>
        <v>14</v>
      </c>
      <c r="K10" s="284">
        <f t="shared" si="1"/>
        <v>-3</v>
      </c>
      <c r="L10" s="282">
        <f>Punteggio!G10</f>
        <v>1</v>
      </c>
      <c r="M10" s="86">
        <v>3</v>
      </c>
      <c r="N10" s="86">
        <f t="shared" si="13"/>
        <v>17</v>
      </c>
      <c r="O10" s="86">
        <f t="shared" si="14"/>
        <v>9</v>
      </c>
      <c r="P10" s="284">
        <f t="shared" si="2"/>
        <v>8</v>
      </c>
      <c r="Q10" s="282">
        <f>Punteggio!I10</f>
        <v>3</v>
      </c>
      <c r="R10" s="86">
        <v>0</v>
      </c>
      <c r="S10" s="86">
        <f t="shared" si="15"/>
        <v>12</v>
      </c>
      <c r="T10" s="86">
        <f t="shared" si="16"/>
        <v>14</v>
      </c>
      <c r="U10" s="284">
        <f t="shared" si="3"/>
        <v>-2</v>
      </c>
      <c r="V10" s="282">
        <f>Punteggio!K10</f>
        <v>3</v>
      </c>
      <c r="W10" s="86">
        <v>3</v>
      </c>
      <c r="X10" s="86">
        <f t="shared" si="17"/>
        <v>12</v>
      </c>
      <c r="Y10" s="86">
        <f t="shared" si="18"/>
        <v>9</v>
      </c>
      <c r="Z10" s="284">
        <f t="shared" si="4"/>
        <v>3</v>
      </c>
      <c r="AA10" s="282">
        <f>Punteggio!M10</f>
        <v>1</v>
      </c>
      <c r="AB10" s="86">
        <v>0</v>
      </c>
      <c r="AC10" s="86">
        <f t="shared" si="19"/>
        <v>8</v>
      </c>
      <c r="AD10" s="86">
        <f t="shared" si="20"/>
        <v>5</v>
      </c>
      <c r="AE10" s="284">
        <f t="shared" si="5"/>
        <v>3</v>
      </c>
      <c r="AF10" s="282">
        <f>Punteggio!O10</f>
        <v>0</v>
      </c>
      <c r="AG10" s="86">
        <v>1</v>
      </c>
      <c r="AH10" s="86">
        <f t="shared" si="21"/>
        <v>9</v>
      </c>
      <c r="AI10" s="86">
        <f t="shared" si="22"/>
        <v>9</v>
      </c>
      <c r="AJ10" s="284">
        <f t="shared" si="6"/>
        <v>0</v>
      </c>
      <c r="AK10" s="282">
        <f>Punteggio!Q10</f>
        <v>0</v>
      </c>
      <c r="AL10" s="86">
        <v>0</v>
      </c>
      <c r="AM10" s="86">
        <f t="shared" si="23"/>
        <v>2</v>
      </c>
      <c r="AN10" s="86">
        <f t="shared" si="24"/>
        <v>8</v>
      </c>
      <c r="AO10" s="284">
        <f t="shared" si="7"/>
        <v>-6</v>
      </c>
      <c r="AP10" s="282">
        <f>Punteggio!S10</f>
        <v>3</v>
      </c>
      <c r="AQ10" s="86">
        <v>3</v>
      </c>
      <c r="AR10" s="86">
        <f t="shared" si="25"/>
        <v>15</v>
      </c>
      <c r="AS10" s="86">
        <f t="shared" si="26"/>
        <v>16</v>
      </c>
      <c r="AT10" s="284">
        <f t="shared" si="8"/>
        <v>-1</v>
      </c>
      <c r="AU10" s="282">
        <f>Punteggio!U10</f>
        <v>3</v>
      </c>
      <c r="AV10" s="86">
        <v>3</v>
      </c>
      <c r="AW10" s="86">
        <f t="shared" si="27"/>
        <v>14</v>
      </c>
      <c r="AX10" s="86">
        <f t="shared" si="28"/>
        <v>19</v>
      </c>
      <c r="AY10" s="278">
        <f t="shared" si="9"/>
        <v>-5</v>
      </c>
    </row>
    <row r="11" spans="1:51" ht="15" x14ac:dyDescent="0.2">
      <c r="A11" s="276">
        <v>9</v>
      </c>
      <c r="B11" s="86">
        <f>Punteggio!C11</f>
        <v>0</v>
      </c>
      <c r="C11" s="86">
        <v>3</v>
      </c>
      <c r="D11" s="86">
        <f t="shared" si="10"/>
        <v>13</v>
      </c>
      <c r="E11" s="86">
        <f t="shared" si="10"/>
        <v>11</v>
      </c>
      <c r="F11" s="284">
        <f t="shared" si="0"/>
        <v>2</v>
      </c>
      <c r="G11" s="282">
        <f>Punteggio!E11</f>
        <v>3</v>
      </c>
      <c r="H11" s="86">
        <v>0</v>
      </c>
      <c r="I11" s="86">
        <f t="shared" si="11"/>
        <v>14</v>
      </c>
      <c r="J11" s="86">
        <f t="shared" si="12"/>
        <v>14</v>
      </c>
      <c r="K11" s="284">
        <f t="shared" si="1"/>
        <v>0</v>
      </c>
      <c r="L11" s="282">
        <f>Punteggio!G11</f>
        <v>1</v>
      </c>
      <c r="M11" s="86">
        <v>3</v>
      </c>
      <c r="N11" s="86">
        <f t="shared" si="13"/>
        <v>18</v>
      </c>
      <c r="O11" s="86">
        <f t="shared" si="14"/>
        <v>12</v>
      </c>
      <c r="P11" s="284">
        <f t="shared" si="2"/>
        <v>6</v>
      </c>
      <c r="Q11" s="282">
        <f>Punteggio!I11</f>
        <v>1</v>
      </c>
      <c r="R11" s="86">
        <v>0</v>
      </c>
      <c r="S11" s="86">
        <f t="shared" si="15"/>
        <v>13</v>
      </c>
      <c r="T11" s="86">
        <f t="shared" si="16"/>
        <v>14</v>
      </c>
      <c r="U11" s="284">
        <f t="shared" si="3"/>
        <v>-1</v>
      </c>
      <c r="V11" s="282">
        <f>Punteggio!K11</f>
        <v>3</v>
      </c>
      <c r="W11" s="86">
        <v>3</v>
      </c>
      <c r="X11" s="86">
        <f t="shared" si="17"/>
        <v>15</v>
      </c>
      <c r="Y11" s="86">
        <f t="shared" si="18"/>
        <v>12</v>
      </c>
      <c r="Z11" s="284">
        <f t="shared" si="4"/>
        <v>3</v>
      </c>
      <c r="AA11" s="282">
        <f>Punteggio!M11</f>
        <v>3</v>
      </c>
      <c r="AB11" s="86">
        <v>3</v>
      </c>
      <c r="AC11" s="86">
        <f t="shared" si="19"/>
        <v>11</v>
      </c>
      <c r="AD11" s="86">
        <f t="shared" si="20"/>
        <v>8</v>
      </c>
      <c r="AE11" s="284">
        <f t="shared" si="5"/>
        <v>3</v>
      </c>
      <c r="AF11" s="282">
        <f>Punteggio!O11</f>
        <v>0</v>
      </c>
      <c r="AG11" s="86">
        <v>0</v>
      </c>
      <c r="AH11" s="86">
        <f t="shared" si="21"/>
        <v>9</v>
      </c>
      <c r="AI11" s="86">
        <f t="shared" si="22"/>
        <v>9</v>
      </c>
      <c r="AJ11" s="284">
        <f t="shared" si="6"/>
        <v>0</v>
      </c>
      <c r="AK11" s="282">
        <f>Punteggio!Q11</f>
        <v>0</v>
      </c>
      <c r="AL11" s="86">
        <v>0</v>
      </c>
      <c r="AM11" s="86">
        <f t="shared" si="23"/>
        <v>2</v>
      </c>
      <c r="AN11" s="86">
        <f t="shared" si="24"/>
        <v>8</v>
      </c>
      <c r="AO11" s="284">
        <f t="shared" si="7"/>
        <v>-6</v>
      </c>
      <c r="AP11" s="282">
        <f>Punteggio!S11</f>
        <v>1</v>
      </c>
      <c r="AQ11" s="86">
        <v>3</v>
      </c>
      <c r="AR11" s="86">
        <f t="shared" si="25"/>
        <v>16</v>
      </c>
      <c r="AS11" s="86">
        <f t="shared" si="26"/>
        <v>19</v>
      </c>
      <c r="AT11" s="284">
        <f t="shared" si="8"/>
        <v>-3</v>
      </c>
      <c r="AU11" s="282">
        <f>Punteggio!U11</f>
        <v>1</v>
      </c>
      <c r="AV11" s="86">
        <v>0</v>
      </c>
      <c r="AW11" s="86">
        <f t="shared" si="27"/>
        <v>15</v>
      </c>
      <c r="AX11" s="86">
        <f t="shared" si="28"/>
        <v>19</v>
      </c>
      <c r="AY11" s="278">
        <f t="shared" si="9"/>
        <v>-4</v>
      </c>
    </row>
    <row r="12" spans="1:51" ht="15" x14ac:dyDescent="0.2">
      <c r="A12" s="276">
        <v>10</v>
      </c>
      <c r="B12" s="86">
        <f>Punteggio!C12</f>
        <v>3</v>
      </c>
      <c r="C12" s="86">
        <v>1</v>
      </c>
      <c r="D12" s="86">
        <f t="shared" si="10"/>
        <v>16</v>
      </c>
      <c r="E12" s="86">
        <f t="shared" si="10"/>
        <v>12</v>
      </c>
      <c r="F12" s="284">
        <f t="shared" si="0"/>
        <v>4</v>
      </c>
      <c r="G12" s="282">
        <f>Punteggio!E12</f>
        <v>0</v>
      </c>
      <c r="H12" s="86">
        <v>0</v>
      </c>
      <c r="I12" s="86">
        <f t="shared" si="11"/>
        <v>14</v>
      </c>
      <c r="J12" s="86">
        <f t="shared" si="12"/>
        <v>14</v>
      </c>
      <c r="K12" s="284">
        <f t="shared" si="1"/>
        <v>0</v>
      </c>
      <c r="L12" s="282">
        <f>Punteggio!G12</f>
        <v>3</v>
      </c>
      <c r="M12" s="86">
        <v>3</v>
      </c>
      <c r="N12" s="86">
        <f t="shared" si="13"/>
        <v>21</v>
      </c>
      <c r="O12" s="86">
        <f t="shared" si="14"/>
        <v>15</v>
      </c>
      <c r="P12" s="284">
        <f t="shared" si="2"/>
        <v>6</v>
      </c>
      <c r="Q12" s="282">
        <f>Punteggio!I12</f>
        <v>0</v>
      </c>
      <c r="R12" s="86">
        <v>0</v>
      </c>
      <c r="S12" s="86">
        <f t="shared" si="15"/>
        <v>13</v>
      </c>
      <c r="T12" s="86">
        <f t="shared" si="16"/>
        <v>14</v>
      </c>
      <c r="U12" s="284">
        <f t="shared" si="3"/>
        <v>-1</v>
      </c>
      <c r="V12" s="282">
        <f>Punteggio!K12</f>
        <v>0</v>
      </c>
      <c r="W12" s="86">
        <v>1</v>
      </c>
      <c r="X12" s="86">
        <f t="shared" si="17"/>
        <v>15</v>
      </c>
      <c r="Y12" s="86">
        <f t="shared" si="18"/>
        <v>13</v>
      </c>
      <c r="Z12" s="284">
        <f t="shared" si="4"/>
        <v>2</v>
      </c>
      <c r="AA12" s="282">
        <f>Punteggio!M12</f>
        <v>0</v>
      </c>
      <c r="AB12" s="86">
        <v>1</v>
      </c>
      <c r="AC12" s="86">
        <f t="shared" si="19"/>
        <v>11</v>
      </c>
      <c r="AD12" s="86">
        <f t="shared" si="20"/>
        <v>9</v>
      </c>
      <c r="AE12" s="284">
        <f t="shared" si="5"/>
        <v>2</v>
      </c>
      <c r="AF12" s="282">
        <f>Punteggio!O12</f>
        <v>3</v>
      </c>
      <c r="AG12" s="86">
        <v>0</v>
      </c>
      <c r="AH12" s="86">
        <f t="shared" si="21"/>
        <v>12</v>
      </c>
      <c r="AI12" s="86">
        <f t="shared" si="22"/>
        <v>9</v>
      </c>
      <c r="AJ12" s="284">
        <f t="shared" si="6"/>
        <v>3</v>
      </c>
      <c r="AK12" s="282">
        <f>Punteggio!Q12</f>
        <v>0</v>
      </c>
      <c r="AL12" s="86">
        <v>1</v>
      </c>
      <c r="AM12" s="86">
        <f t="shared" si="23"/>
        <v>2</v>
      </c>
      <c r="AN12" s="86">
        <f t="shared" si="24"/>
        <v>9</v>
      </c>
      <c r="AO12" s="284">
        <f t="shared" si="7"/>
        <v>-7</v>
      </c>
      <c r="AP12" s="282">
        <f>Punteggio!S12</f>
        <v>3</v>
      </c>
      <c r="AQ12" s="86">
        <v>3</v>
      </c>
      <c r="AR12" s="86">
        <f t="shared" si="25"/>
        <v>19</v>
      </c>
      <c r="AS12" s="86">
        <f t="shared" si="26"/>
        <v>22</v>
      </c>
      <c r="AT12" s="284">
        <f t="shared" si="8"/>
        <v>-3</v>
      </c>
      <c r="AU12" s="282">
        <f>Punteggio!U12</f>
        <v>3</v>
      </c>
      <c r="AV12" s="86">
        <v>3</v>
      </c>
      <c r="AW12" s="86">
        <f t="shared" si="27"/>
        <v>18</v>
      </c>
      <c r="AX12" s="86">
        <f t="shared" si="28"/>
        <v>22</v>
      </c>
      <c r="AY12" s="278">
        <f t="shared" si="9"/>
        <v>-4</v>
      </c>
    </row>
    <row r="13" spans="1:51" ht="15" x14ac:dyDescent="0.2">
      <c r="A13" s="276">
        <v>11</v>
      </c>
      <c r="B13" s="86">
        <f>Punteggio!C13</f>
        <v>0</v>
      </c>
      <c r="C13" s="86">
        <v>3</v>
      </c>
      <c r="D13" s="86">
        <f t="shared" si="10"/>
        <v>16</v>
      </c>
      <c r="E13" s="86">
        <f t="shared" si="10"/>
        <v>15</v>
      </c>
      <c r="F13" s="284">
        <f t="shared" si="0"/>
        <v>1</v>
      </c>
      <c r="G13" s="282">
        <f>Punteggio!E13</f>
        <v>3</v>
      </c>
      <c r="H13" s="86">
        <v>3</v>
      </c>
      <c r="I13" s="86">
        <f t="shared" si="11"/>
        <v>17</v>
      </c>
      <c r="J13" s="86">
        <f t="shared" si="12"/>
        <v>17</v>
      </c>
      <c r="K13" s="284">
        <f t="shared" si="1"/>
        <v>0</v>
      </c>
      <c r="L13" s="282">
        <f>Punteggio!G13</f>
        <v>0</v>
      </c>
      <c r="M13" s="86">
        <v>1</v>
      </c>
      <c r="N13" s="86">
        <f t="shared" si="13"/>
        <v>21</v>
      </c>
      <c r="O13" s="86">
        <f t="shared" si="14"/>
        <v>16</v>
      </c>
      <c r="P13" s="284">
        <f t="shared" si="2"/>
        <v>5</v>
      </c>
      <c r="Q13" s="282">
        <f>Punteggio!I13</f>
        <v>0</v>
      </c>
      <c r="R13" s="86">
        <v>0</v>
      </c>
      <c r="S13" s="86">
        <f t="shared" si="15"/>
        <v>13</v>
      </c>
      <c r="T13" s="86">
        <f t="shared" si="16"/>
        <v>14</v>
      </c>
      <c r="U13" s="284">
        <f t="shared" si="3"/>
        <v>-1</v>
      </c>
      <c r="V13" s="282">
        <f>Punteggio!K13</f>
        <v>3</v>
      </c>
      <c r="W13" s="86">
        <v>1</v>
      </c>
      <c r="X13" s="86">
        <f t="shared" si="17"/>
        <v>18</v>
      </c>
      <c r="Y13" s="86">
        <f t="shared" si="18"/>
        <v>14</v>
      </c>
      <c r="Z13" s="284">
        <f t="shared" si="4"/>
        <v>4</v>
      </c>
      <c r="AA13" s="282">
        <f>Punteggio!M13</f>
        <v>0</v>
      </c>
      <c r="AB13" s="86">
        <v>0</v>
      </c>
      <c r="AC13" s="86">
        <f t="shared" si="19"/>
        <v>11</v>
      </c>
      <c r="AD13" s="86">
        <f t="shared" si="20"/>
        <v>9</v>
      </c>
      <c r="AE13" s="284">
        <f t="shared" si="5"/>
        <v>2</v>
      </c>
      <c r="AF13" s="282">
        <f>Punteggio!O13</f>
        <v>3</v>
      </c>
      <c r="AG13" s="86">
        <v>1</v>
      </c>
      <c r="AH13" s="86">
        <f t="shared" si="21"/>
        <v>15</v>
      </c>
      <c r="AI13" s="86">
        <f t="shared" si="22"/>
        <v>10</v>
      </c>
      <c r="AJ13" s="284">
        <f t="shared" si="6"/>
        <v>5</v>
      </c>
      <c r="AK13" s="282">
        <f>Punteggio!Q13</f>
        <v>3</v>
      </c>
      <c r="AL13" s="86">
        <v>3</v>
      </c>
      <c r="AM13" s="86">
        <f t="shared" si="23"/>
        <v>5</v>
      </c>
      <c r="AN13" s="86">
        <f t="shared" si="24"/>
        <v>12</v>
      </c>
      <c r="AO13" s="284">
        <f t="shared" si="7"/>
        <v>-7</v>
      </c>
      <c r="AP13" s="282">
        <f>Punteggio!S13</f>
        <v>3</v>
      </c>
      <c r="AQ13" s="86">
        <v>0</v>
      </c>
      <c r="AR13" s="86">
        <f t="shared" si="25"/>
        <v>22</v>
      </c>
      <c r="AS13" s="86">
        <f t="shared" si="26"/>
        <v>22</v>
      </c>
      <c r="AT13" s="284">
        <f t="shared" si="8"/>
        <v>0</v>
      </c>
      <c r="AU13" s="282">
        <f>Punteggio!U13</f>
        <v>0</v>
      </c>
      <c r="AV13" s="86">
        <v>1</v>
      </c>
      <c r="AW13" s="86">
        <f t="shared" si="27"/>
        <v>18</v>
      </c>
      <c r="AX13" s="86">
        <f t="shared" si="28"/>
        <v>23</v>
      </c>
      <c r="AY13" s="278">
        <f t="shared" si="9"/>
        <v>-5</v>
      </c>
    </row>
    <row r="14" spans="1:51" ht="15" x14ac:dyDescent="0.2">
      <c r="A14" s="276">
        <v>12</v>
      </c>
      <c r="B14" s="86">
        <f>Punteggio!C14</f>
        <v>3</v>
      </c>
      <c r="C14" s="86">
        <v>1</v>
      </c>
      <c r="D14" s="86">
        <f t="shared" si="10"/>
        <v>19</v>
      </c>
      <c r="E14" s="86">
        <f t="shared" si="10"/>
        <v>16</v>
      </c>
      <c r="F14" s="284">
        <f t="shared" si="0"/>
        <v>3</v>
      </c>
      <c r="G14" s="282">
        <f>Punteggio!E14</f>
        <v>1</v>
      </c>
      <c r="H14" s="86">
        <v>1</v>
      </c>
      <c r="I14" s="86">
        <f t="shared" si="11"/>
        <v>18</v>
      </c>
      <c r="J14" s="86">
        <f t="shared" si="12"/>
        <v>18</v>
      </c>
      <c r="K14" s="284">
        <f t="shared" si="1"/>
        <v>0</v>
      </c>
      <c r="L14" s="282">
        <f>Punteggio!G14</f>
        <v>3</v>
      </c>
      <c r="M14" s="86">
        <v>0</v>
      </c>
      <c r="N14" s="86">
        <f t="shared" si="13"/>
        <v>24</v>
      </c>
      <c r="O14" s="86">
        <f t="shared" si="14"/>
        <v>16</v>
      </c>
      <c r="P14" s="284">
        <f t="shared" si="2"/>
        <v>8</v>
      </c>
      <c r="Q14" s="282">
        <f>Punteggio!I14</f>
        <v>0</v>
      </c>
      <c r="R14" s="86">
        <v>0</v>
      </c>
      <c r="S14" s="86">
        <f t="shared" si="15"/>
        <v>13</v>
      </c>
      <c r="T14" s="86">
        <f t="shared" si="16"/>
        <v>14</v>
      </c>
      <c r="U14" s="284">
        <f t="shared" si="3"/>
        <v>-1</v>
      </c>
      <c r="V14" s="282">
        <f>Punteggio!K14</f>
        <v>3</v>
      </c>
      <c r="W14" s="86">
        <v>3</v>
      </c>
      <c r="X14" s="86">
        <f t="shared" si="17"/>
        <v>21</v>
      </c>
      <c r="Y14" s="86">
        <f t="shared" si="18"/>
        <v>17</v>
      </c>
      <c r="Z14" s="284">
        <f t="shared" si="4"/>
        <v>4</v>
      </c>
      <c r="AA14" s="282">
        <f>Punteggio!M14</f>
        <v>0</v>
      </c>
      <c r="AB14" s="86">
        <v>0</v>
      </c>
      <c r="AC14" s="86">
        <f t="shared" si="19"/>
        <v>11</v>
      </c>
      <c r="AD14" s="86">
        <f t="shared" si="20"/>
        <v>9</v>
      </c>
      <c r="AE14" s="284">
        <f t="shared" si="5"/>
        <v>2</v>
      </c>
      <c r="AF14" s="282">
        <f>Punteggio!O14</f>
        <v>1</v>
      </c>
      <c r="AG14" s="86">
        <v>1</v>
      </c>
      <c r="AH14" s="86">
        <f t="shared" si="21"/>
        <v>16</v>
      </c>
      <c r="AI14" s="86">
        <f t="shared" si="22"/>
        <v>11</v>
      </c>
      <c r="AJ14" s="284">
        <f t="shared" si="6"/>
        <v>5</v>
      </c>
      <c r="AK14" s="282">
        <f>Punteggio!Q14</f>
        <v>3</v>
      </c>
      <c r="AL14" s="86">
        <v>3</v>
      </c>
      <c r="AM14" s="86">
        <f t="shared" si="23"/>
        <v>8</v>
      </c>
      <c r="AN14" s="86">
        <f t="shared" si="24"/>
        <v>15</v>
      </c>
      <c r="AO14" s="284">
        <f t="shared" si="7"/>
        <v>-7</v>
      </c>
      <c r="AP14" s="282">
        <f>Punteggio!S14</f>
        <v>0</v>
      </c>
      <c r="AQ14" s="86">
        <v>3</v>
      </c>
      <c r="AR14" s="86">
        <f t="shared" si="25"/>
        <v>22</v>
      </c>
      <c r="AS14" s="86">
        <f t="shared" si="26"/>
        <v>25</v>
      </c>
      <c r="AT14" s="284">
        <f t="shared" si="8"/>
        <v>-3</v>
      </c>
      <c r="AU14" s="282">
        <f>Punteggio!U14</f>
        <v>0</v>
      </c>
      <c r="AV14" s="86">
        <v>1</v>
      </c>
      <c r="AW14" s="86">
        <f t="shared" si="27"/>
        <v>18</v>
      </c>
      <c r="AX14" s="86">
        <f t="shared" si="28"/>
        <v>24</v>
      </c>
      <c r="AY14" s="278">
        <f t="shared" si="9"/>
        <v>-6</v>
      </c>
    </row>
    <row r="15" spans="1:51" ht="15" x14ac:dyDescent="0.2">
      <c r="A15" s="276">
        <v>13</v>
      </c>
      <c r="B15" s="86">
        <f>Punteggio!C15</f>
        <v>1</v>
      </c>
      <c r="C15" s="86">
        <v>0</v>
      </c>
      <c r="D15" s="86">
        <f t="shared" si="10"/>
        <v>20</v>
      </c>
      <c r="E15" s="86">
        <f t="shared" si="10"/>
        <v>16</v>
      </c>
      <c r="F15" s="284">
        <f t="shared" si="0"/>
        <v>4</v>
      </c>
      <c r="G15" s="282">
        <f>Punteggio!E15</f>
        <v>0</v>
      </c>
      <c r="H15" s="86">
        <v>3</v>
      </c>
      <c r="I15" s="86">
        <f t="shared" si="11"/>
        <v>18</v>
      </c>
      <c r="J15" s="86">
        <f t="shared" si="12"/>
        <v>21</v>
      </c>
      <c r="K15" s="284">
        <f t="shared" si="1"/>
        <v>-3</v>
      </c>
      <c r="L15" s="282">
        <f>Punteggio!G15</f>
        <v>1</v>
      </c>
      <c r="M15" s="86">
        <v>1</v>
      </c>
      <c r="N15" s="86">
        <f t="shared" si="13"/>
        <v>25</v>
      </c>
      <c r="O15" s="86">
        <f t="shared" si="14"/>
        <v>17</v>
      </c>
      <c r="P15" s="284">
        <f t="shared" si="2"/>
        <v>8</v>
      </c>
      <c r="Q15" s="282">
        <f>Punteggio!I15</f>
        <v>3</v>
      </c>
      <c r="R15" s="86">
        <v>3</v>
      </c>
      <c r="S15" s="86">
        <f t="shared" si="15"/>
        <v>16</v>
      </c>
      <c r="T15" s="86">
        <f t="shared" si="16"/>
        <v>17</v>
      </c>
      <c r="U15" s="284">
        <f t="shared" si="3"/>
        <v>-1</v>
      </c>
      <c r="V15" s="282">
        <f>Punteggio!K15</f>
        <v>1</v>
      </c>
      <c r="W15" s="86">
        <v>0</v>
      </c>
      <c r="X15" s="86">
        <f t="shared" si="17"/>
        <v>22</v>
      </c>
      <c r="Y15" s="86">
        <f t="shared" si="18"/>
        <v>17</v>
      </c>
      <c r="Z15" s="284">
        <f t="shared" si="4"/>
        <v>5</v>
      </c>
      <c r="AA15" s="282">
        <f>Punteggio!M15</f>
        <v>1</v>
      </c>
      <c r="AB15" s="86">
        <v>0</v>
      </c>
      <c r="AC15" s="86">
        <f t="shared" si="19"/>
        <v>12</v>
      </c>
      <c r="AD15" s="86">
        <f t="shared" si="20"/>
        <v>9</v>
      </c>
      <c r="AE15" s="284">
        <f t="shared" si="5"/>
        <v>3</v>
      </c>
      <c r="AF15" s="282">
        <f>Punteggio!O15</f>
        <v>1</v>
      </c>
      <c r="AG15" s="86">
        <v>3</v>
      </c>
      <c r="AH15" s="86">
        <f t="shared" si="21"/>
        <v>17</v>
      </c>
      <c r="AI15" s="86">
        <f t="shared" si="22"/>
        <v>14</v>
      </c>
      <c r="AJ15" s="284">
        <f t="shared" si="6"/>
        <v>3</v>
      </c>
      <c r="AK15" s="282">
        <f>Punteggio!Q15</f>
        <v>0</v>
      </c>
      <c r="AL15" s="86">
        <v>0</v>
      </c>
      <c r="AM15" s="86">
        <f t="shared" si="23"/>
        <v>8</v>
      </c>
      <c r="AN15" s="86">
        <f t="shared" si="24"/>
        <v>15</v>
      </c>
      <c r="AO15" s="284">
        <f t="shared" si="7"/>
        <v>-7</v>
      </c>
      <c r="AP15" s="282">
        <f>Punteggio!S15</f>
        <v>1</v>
      </c>
      <c r="AQ15" s="86">
        <v>3</v>
      </c>
      <c r="AR15" s="86">
        <f t="shared" si="25"/>
        <v>23</v>
      </c>
      <c r="AS15" s="86">
        <f t="shared" si="26"/>
        <v>28</v>
      </c>
      <c r="AT15" s="284">
        <f t="shared" si="8"/>
        <v>-5</v>
      </c>
      <c r="AU15" s="282">
        <f>Punteggio!U15</f>
        <v>3</v>
      </c>
      <c r="AV15" s="86">
        <v>1</v>
      </c>
      <c r="AW15" s="86">
        <f t="shared" si="27"/>
        <v>21</v>
      </c>
      <c r="AX15" s="86">
        <f t="shared" si="28"/>
        <v>25</v>
      </c>
      <c r="AY15" s="278">
        <f t="shared" si="9"/>
        <v>-4</v>
      </c>
    </row>
    <row r="16" spans="1:51" ht="15" x14ac:dyDescent="0.2">
      <c r="A16" s="276">
        <v>14</v>
      </c>
      <c r="B16" s="86">
        <f>Punteggio!C16</f>
        <v>3</v>
      </c>
      <c r="C16" s="86">
        <v>3</v>
      </c>
      <c r="D16" s="86">
        <f t="shared" si="10"/>
        <v>23</v>
      </c>
      <c r="E16" s="86">
        <f t="shared" si="10"/>
        <v>19</v>
      </c>
      <c r="F16" s="284">
        <f t="shared" si="0"/>
        <v>4</v>
      </c>
      <c r="G16" s="282">
        <f>Punteggio!E16</f>
        <v>3</v>
      </c>
      <c r="H16" s="86">
        <v>1</v>
      </c>
      <c r="I16" s="86">
        <f t="shared" si="11"/>
        <v>21</v>
      </c>
      <c r="J16" s="86">
        <f t="shared" si="12"/>
        <v>22</v>
      </c>
      <c r="K16" s="284">
        <f t="shared" si="1"/>
        <v>-1</v>
      </c>
      <c r="L16" s="282">
        <f>Punteggio!G16</f>
        <v>3</v>
      </c>
      <c r="M16" s="86">
        <v>0</v>
      </c>
      <c r="N16" s="86">
        <f t="shared" si="13"/>
        <v>28</v>
      </c>
      <c r="O16" s="86">
        <f t="shared" si="14"/>
        <v>17</v>
      </c>
      <c r="P16" s="284">
        <f t="shared" si="2"/>
        <v>11</v>
      </c>
      <c r="Q16" s="282">
        <f>Punteggio!I16</f>
        <v>0</v>
      </c>
      <c r="R16" s="86">
        <v>3</v>
      </c>
      <c r="S16" s="86">
        <f t="shared" si="15"/>
        <v>16</v>
      </c>
      <c r="T16" s="86">
        <f t="shared" si="16"/>
        <v>20</v>
      </c>
      <c r="U16" s="284">
        <f t="shared" si="3"/>
        <v>-4</v>
      </c>
      <c r="V16" s="282">
        <f>Punteggio!K16</f>
        <v>0</v>
      </c>
      <c r="W16" s="86">
        <v>0</v>
      </c>
      <c r="X16" s="86">
        <f t="shared" si="17"/>
        <v>22</v>
      </c>
      <c r="Y16" s="86">
        <f t="shared" si="18"/>
        <v>17</v>
      </c>
      <c r="Z16" s="284">
        <f t="shared" si="4"/>
        <v>5</v>
      </c>
      <c r="AA16" s="282">
        <f>Punteggio!M16</f>
        <v>0</v>
      </c>
      <c r="AB16" s="86">
        <v>0</v>
      </c>
      <c r="AC16" s="86">
        <f t="shared" si="19"/>
        <v>12</v>
      </c>
      <c r="AD16" s="86">
        <f t="shared" si="20"/>
        <v>9</v>
      </c>
      <c r="AE16" s="284">
        <f t="shared" si="5"/>
        <v>3</v>
      </c>
      <c r="AF16" s="282">
        <f>Punteggio!O16</f>
        <v>3</v>
      </c>
      <c r="AG16" s="86">
        <v>3</v>
      </c>
      <c r="AH16" s="86">
        <f t="shared" si="21"/>
        <v>20</v>
      </c>
      <c r="AI16" s="86">
        <f t="shared" si="22"/>
        <v>17</v>
      </c>
      <c r="AJ16" s="284">
        <f t="shared" si="6"/>
        <v>3</v>
      </c>
      <c r="AK16" s="282">
        <f>Punteggio!Q16</f>
        <v>0</v>
      </c>
      <c r="AL16" s="86">
        <v>1</v>
      </c>
      <c r="AM16" s="86">
        <f t="shared" si="23"/>
        <v>8</v>
      </c>
      <c r="AN16" s="86">
        <f t="shared" si="24"/>
        <v>16</v>
      </c>
      <c r="AO16" s="284">
        <f t="shared" si="7"/>
        <v>-8</v>
      </c>
      <c r="AP16" s="282">
        <f>Punteggio!S16</f>
        <v>0</v>
      </c>
      <c r="AQ16" s="86">
        <v>3</v>
      </c>
      <c r="AR16" s="86">
        <f t="shared" si="25"/>
        <v>23</v>
      </c>
      <c r="AS16" s="86">
        <f t="shared" si="26"/>
        <v>31</v>
      </c>
      <c r="AT16" s="284">
        <f t="shared" si="8"/>
        <v>-8</v>
      </c>
      <c r="AU16" s="282">
        <f>Punteggio!U16</f>
        <v>3</v>
      </c>
      <c r="AV16" s="86">
        <v>0</v>
      </c>
      <c r="AW16" s="86">
        <f t="shared" si="27"/>
        <v>24</v>
      </c>
      <c r="AX16" s="86">
        <f t="shared" si="28"/>
        <v>25</v>
      </c>
      <c r="AY16" s="278">
        <f t="shared" si="9"/>
        <v>-1</v>
      </c>
    </row>
    <row r="17" spans="1:51" ht="15" x14ac:dyDescent="0.2">
      <c r="A17" s="276">
        <v>15</v>
      </c>
      <c r="B17" s="86">
        <f>Punteggio!C17</f>
        <v>1</v>
      </c>
      <c r="C17" s="86">
        <v>3</v>
      </c>
      <c r="D17" s="86">
        <f t="shared" si="10"/>
        <v>24</v>
      </c>
      <c r="E17" s="86">
        <f t="shared" si="10"/>
        <v>22</v>
      </c>
      <c r="F17" s="284">
        <f t="shared" si="0"/>
        <v>2</v>
      </c>
      <c r="G17" s="282">
        <f>Punteggio!E17</f>
        <v>3</v>
      </c>
      <c r="H17" s="86">
        <v>0</v>
      </c>
      <c r="I17" s="86">
        <f t="shared" si="11"/>
        <v>24</v>
      </c>
      <c r="J17" s="86">
        <f t="shared" si="12"/>
        <v>22</v>
      </c>
      <c r="K17" s="284">
        <f t="shared" si="1"/>
        <v>2</v>
      </c>
      <c r="L17" s="282">
        <f>Punteggio!G17</f>
        <v>1</v>
      </c>
      <c r="M17" s="86">
        <v>1</v>
      </c>
      <c r="N17" s="86">
        <f t="shared" si="13"/>
        <v>29</v>
      </c>
      <c r="O17" s="86">
        <f t="shared" si="14"/>
        <v>18</v>
      </c>
      <c r="P17" s="284">
        <f t="shared" si="2"/>
        <v>11</v>
      </c>
      <c r="Q17" s="282">
        <f>Punteggio!I17</f>
        <v>1</v>
      </c>
      <c r="R17" s="86">
        <v>0</v>
      </c>
      <c r="S17" s="86">
        <f t="shared" si="15"/>
        <v>17</v>
      </c>
      <c r="T17" s="86">
        <f t="shared" si="16"/>
        <v>20</v>
      </c>
      <c r="U17" s="284">
        <f t="shared" si="3"/>
        <v>-3</v>
      </c>
      <c r="V17" s="282">
        <f>Punteggio!K17</f>
        <v>0</v>
      </c>
      <c r="W17" s="86">
        <v>0</v>
      </c>
      <c r="X17" s="86">
        <f t="shared" si="17"/>
        <v>22</v>
      </c>
      <c r="Y17" s="86">
        <f t="shared" si="18"/>
        <v>17</v>
      </c>
      <c r="Z17" s="284">
        <f t="shared" si="4"/>
        <v>5</v>
      </c>
      <c r="AA17" s="282">
        <f>Punteggio!M17</f>
        <v>0</v>
      </c>
      <c r="AB17" s="86">
        <v>3</v>
      </c>
      <c r="AC17" s="86">
        <f t="shared" si="19"/>
        <v>12</v>
      </c>
      <c r="AD17" s="86">
        <f t="shared" si="20"/>
        <v>12</v>
      </c>
      <c r="AE17" s="284">
        <f t="shared" si="5"/>
        <v>0</v>
      </c>
      <c r="AF17" s="282">
        <f>Punteggio!O17</f>
        <v>0</v>
      </c>
      <c r="AG17" s="86">
        <v>3</v>
      </c>
      <c r="AH17" s="86">
        <f t="shared" si="21"/>
        <v>20</v>
      </c>
      <c r="AI17" s="86">
        <f t="shared" si="22"/>
        <v>20</v>
      </c>
      <c r="AJ17" s="284">
        <f t="shared" si="6"/>
        <v>0</v>
      </c>
      <c r="AK17" s="282">
        <f>Punteggio!Q17</f>
        <v>3</v>
      </c>
      <c r="AL17" s="86">
        <v>1</v>
      </c>
      <c r="AM17" s="86">
        <f t="shared" si="23"/>
        <v>11</v>
      </c>
      <c r="AN17" s="86">
        <f t="shared" si="24"/>
        <v>17</v>
      </c>
      <c r="AO17" s="284">
        <f t="shared" si="7"/>
        <v>-6</v>
      </c>
      <c r="AP17" s="282">
        <f>Punteggio!S17</f>
        <v>3</v>
      </c>
      <c r="AQ17" s="86">
        <v>0</v>
      </c>
      <c r="AR17" s="86">
        <f t="shared" si="25"/>
        <v>26</v>
      </c>
      <c r="AS17" s="86">
        <f t="shared" si="26"/>
        <v>31</v>
      </c>
      <c r="AT17" s="284">
        <f t="shared" si="8"/>
        <v>-5</v>
      </c>
      <c r="AU17" s="282">
        <f>Punteggio!U17</f>
        <v>1</v>
      </c>
      <c r="AV17" s="86">
        <v>3</v>
      </c>
      <c r="AW17" s="86">
        <f t="shared" si="27"/>
        <v>25</v>
      </c>
      <c r="AX17" s="86">
        <f t="shared" si="28"/>
        <v>28</v>
      </c>
      <c r="AY17" s="278">
        <f t="shared" si="9"/>
        <v>-3</v>
      </c>
    </row>
    <row r="18" spans="1:51" ht="15" x14ac:dyDescent="0.2">
      <c r="A18" s="276">
        <v>16</v>
      </c>
      <c r="B18" s="86">
        <f>Punteggio!C18</f>
        <v>1</v>
      </c>
      <c r="C18" s="86">
        <v>0</v>
      </c>
      <c r="D18" s="86">
        <f t="shared" si="10"/>
        <v>25</v>
      </c>
      <c r="E18" s="86">
        <f t="shared" si="10"/>
        <v>22</v>
      </c>
      <c r="F18" s="284">
        <f t="shared" si="0"/>
        <v>3</v>
      </c>
      <c r="G18" s="282">
        <f>Punteggio!E18</f>
        <v>0</v>
      </c>
      <c r="H18" s="86">
        <v>1</v>
      </c>
      <c r="I18" s="86">
        <f t="shared" si="11"/>
        <v>24</v>
      </c>
      <c r="J18" s="86">
        <f t="shared" si="12"/>
        <v>23</v>
      </c>
      <c r="K18" s="284">
        <f t="shared" si="1"/>
        <v>1</v>
      </c>
      <c r="L18" s="282">
        <f>Punteggio!G18</f>
        <v>0</v>
      </c>
      <c r="M18" s="86">
        <v>1</v>
      </c>
      <c r="N18" s="86">
        <f t="shared" si="13"/>
        <v>29</v>
      </c>
      <c r="O18" s="86">
        <f t="shared" si="14"/>
        <v>19</v>
      </c>
      <c r="P18" s="284">
        <f t="shared" si="2"/>
        <v>10</v>
      </c>
      <c r="Q18" s="282">
        <f>Punteggio!I18</f>
        <v>3</v>
      </c>
      <c r="R18" s="86">
        <v>1</v>
      </c>
      <c r="S18" s="86">
        <f t="shared" si="15"/>
        <v>20</v>
      </c>
      <c r="T18" s="86">
        <f t="shared" si="16"/>
        <v>21</v>
      </c>
      <c r="U18" s="284">
        <f t="shared" si="3"/>
        <v>-1</v>
      </c>
      <c r="V18" s="282">
        <f>Punteggio!K18</f>
        <v>3</v>
      </c>
      <c r="W18" s="86">
        <v>1</v>
      </c>
      <c r="X18" s="86">
        <f t="shared" si="17"/>
        <v>25</v>
      </c>
      <c r="Y18" s="86">
        <f t="shared" si="18"/>
        <v>18</v>
      </c>
      <c r="Z18" s="284">
        <f t="shared" si="4"/>
        <v>7</v>
      </c>
      <c r="AA18" s="282">
        <f>Punteggio!M18</f>
        <v>0</v>
      </c>
      <c r="AB18" s="86">
        <v>1</v>
      </c>
      <c r="AC18" s="86">
        <f t="shared" si="19"/>
        <v>12</v>
      </c>
      <c r="AD18" s="86">
        <f t="shared" si="20"/>
        <v>13</v>
      </c>
      <c r="AE18" s="284">
        <f t="shared" si="5"/>
        <v>-1</v>
      </c>
      <c r="AF18" s="282">
        <f>Punteggio!O18</f>
        <v>1</v>
      </c>
      <c r="AG18" s="86">
        <v>1</v>
      </c>
      <c r="AH18" s="86">
        <f t="shared" si="21"/>
        <v>21</v>
      </c>
      <c r="AI18" s="86">
        <f t="shared" si="22"/>
        <v>21</v>
      </c>
      <c r="AJ18" s="284">
        <f t="shared" si="6"/>
        <v>0</v>
      </c>
      <c r="AK18" s="282">
        <f>Punteggio!Q18</f>
        <v>1</v>
      </c>
      <c r="AL18" s="86">
        <v>3</v>
      </c>
      <c r="AM18" s="86">
        <f t="shared" si="23"/>
        <v>12</v>
      </c>
      <c r="AN18" s="86">
        <f t="shared" si="24"/>
        <v>20</v>
      </c>
      <c r="AO18" s="284">
        <f t="shared" si="7"/>
        <v>-8</v>
      </c>
      <c r="AP18" s="282">
        <f>Punteggio!S18</f>
        <v>1</v>
      </c>
      <c r="AQ18" s="86">
        <v>0</v>
      </c>
      <c r="AR18" s="86">
        <f t="shared" si="25"/>
        <v>27</v>
      </c>
      <c r="AS18" s="86">
        <f t="shared" si="26"/>
        <v>31</v>
      </c>
      <c r="AT18" s="284">
        <f t="shared" si="8"/>
        <v>-4</v>
      </c>
      <c r="AU18" s="282">
        <f>Punteggio!U18</f>
        <v>3</v>
      </c>
      <c r="AV18" s="86">
        <v>3</v>
      </c>
      <c r="AW18" s="86">
        <f t="shared" si="27"/>
        <v>28</v>
      </c>
      <c r="AX18" s="86">
        <f t="shared" si="28"/>
        <v>31</v>
      </c>
      <c r="AY18" s="278">
        <f t="shared" si="9"/>
        <v>-3</v>
      </c>
    </row>
    <row r="19" spans="1:51" ht="15" x14ac:dyDescent="0.2">
      <c r="A19" s="276">
        <v>17</v>
      </c>
      <c r="B19" s="86">
        <f>Punteggio!C19</f>
        <v>3</v>
      </c>
      <c r="C19" s="86">
        <v>0</v>
      </c>
      <c r="D19" s="86">
        <f t="shared" si="10"/>
        <v>28</v>
      </c>
      <c r="E19" s="86">
        <f t="shared" si="10"/>
        <v>22</v>
      </c>
      <c r="F19" s="284">
        <f t="shared" si="0"/>
        <v>6</v>
      </c>
      <c r="G19" s="282">
        <f>Punteggio!E19</f>
        <v>3</v>
      </c>
      <c r="H19" s="86">
        <v>3</v>
      </c>
      <c r="I19" s="86">
        <f t="shared" si="11"/>
        <v>27</v>
      </c>
      <c r="J19" s="86">
        <f t="shared" si="12"/>
        <v>26</v>
      </c>
      <c r="K19" s="284">
        <f t="shared" si="1"/>
        <v>1</v>
      </c>
      <c r="L19" s="282">
        <f>Punteggio!G19</f>
        <v>0</v>
      </c>
      <c r="M19" s="86">
        <v>0</v>
      </c>
      <c r="N19" s="86">
        <f t="shared" si="13"/>
        <v>29</v>
      </c>
      <c r="O19" s="86">
        <f t="shared" si="14"/>
        <v>19</v>
      </c>
      <c r="P19" s="284">
        <f t="shared" si="2"/>
        <v>10</v>
      </c>
      <c r="Q19" s="282">
        <f>Punteggio!I19</f>
        <v>0</v>
      </c>
      <c r="R19" s="86">
        <v>3</v>
      </c>
      <c r="S19" s="86">
        <f t="shared" si="15"/>
        <v>20</v>
      </c>
      <c r="T19" s="86">
        <f t="shared" si="16"/>
        <v>24</v>
      </c>
      <c r="U19" s="284">
        <f t="shared" si="3"/>
        <v>-4</v>
      </c>
      <c r="V19" s="282">
        <f>Punteggio!K19</f>
        <v>3</v>
      </c>
      <c r="W19" s="86">
        <v>3</v>
      </c>
      <c r="X19" s="86">
        <f t="shared" si="17"/>
        <v>28</v>
      </c>
      <c r="Y19" s="86">
        <f t="shared" si="18"/>
        <v>21</v>
      </c>
      <c r="Z19" s="284">
        <f t="shared" si="4"/>
        <v>7</v>
      </c>
      <c r="AA19" s="282">
        <f>Punteggio!M19</f>
        <v>3</v>
      </c>
      <c r="AB19" s="86">
        <v>3</v>
      </c>
      <c r="AC19" s="86">
        <f t="shared" si="19"/>
        <v>15</v>
      </c>
      <c r="AD19" s="86">
        <f t="shared" si="20"/>
        <v>16</v>
      </c>
      <c r="AE19" s="284">
        <f t="shared" si="5"/>
        <v>-1</v>
      </c>
      <c r="AF19" s="282">
        <f>Punteggio!O19</f>
        <v>3</v>
      </c>
      <c r="AG19" s="86">
        <v>0</v>
      </c>
      <c r="AH19" s="86">
        <f t="shared" si="21"/>
        <v>24</v>
      </c>
      <c r="AI19" s="86">
        <f t="shared" si="22"/>
        <v>21</v>
      </c>
      <c r="AJ19" s="284">
        <f t="shared" si="6"/>
        <v>3</v>
      </c>
      <c r="AK19" s="282">
        <f>Punteggio!Q19</f>
        <v>0</v>
      </c>
      <c r="AL19" s="86">
        <v>3</v>
      </c>
      <c r="AM19" s="86">
        <f t="shared" si="23"/>
        <v>12</v>
      </c>
      <c r="AN19" s="86">
        <f t="shared" si="24"/>
        <v>23</v>
      </c>
      <c r="AO19" s="284">
        <f t="shared" si="7"/>
        <v>-11</v>
      </c>
      <c r="AP19" s="282">
        <f>Punteggio!S19</f>
        <v>0</v>
      </c>
      <c r="AQ19" s="86">
        <v>0</v>
      </c>
      <c r="AR19" s="86">
        <f t="shared" si="25"/>
        <v>27</v>
      </c>
      <c r="AS19" s="86">
        <f t="shared" si="26"/>
        <v>31</v>
      </c>
      <c r="AT19" s="284">
        <f t="shared" si="8"/>
        <v>-4</v>
      </c>
      <c r="AU19" s="282">
        <f>Punteggio!U19</f>
        <v>0</v>
      </c>
      <c r="AV19" s="86">
        <v>0</v>
      </c>
      <c r="AW19" s="86">
        <f t="shared" si="27"/>
        <v>28</v>
      </c>
      <c r="AX19" s="86">
        <f t="shared" si="28"/>
        <v>31</v>
      </c>
      <c r="AY19" s="278">
        <f t="shared" si="9"/>
        <v>-3</v>
      </c>
    </row>
    <row r="20" spans="1:51" ht="15" x14ac:dyDescent="0.2">
      <c r="A20" s="276">
        <v>18</v>
      </c>
      <c r="B20" s="86">
        <f>Punteggio!C20</f>
        <v>1</v>
      </c>
      <c r="C20" s="86">
        <v>1</v>
      </c>
      <c r="D20" s="86">
        <f t="shared" si="10"/>
        <v>29</v>
      </c>
      <c r="E20" s="86">
        <f t="shared" si="10"/>
        <v>23</v>
      </c>
      <c r="F20" s="284">
        <f t="shared" si="0"/>
        <v>6</v>
      </c>
      <c r="G20" s="282">
        <f>Punteggio!E20</f>
        <v>3</v>
      </c>
      <c r="H20" s="86">
        <v>3</v>
      </c>
      <c r="I20" s="86">
        <f t="shared" si="11"/>
        <v>30</v>
      </c>
      <c r="J20" s="86">
        <f t="shared" si="12"/>
        <v>29</v>
      </c>
      <c r="K20" s="284">
        <f t="shared" si="1"/>
        <v>1</v>
      </c>
      <c r="L20" s="282">
        <f>Punteggio!G20</f>
        <v>1</v>
      </c>
      <c r="M20" s="86">
        <v>0</v>
      </c>
      <c r="N20" s="86">
        <f t="shared" si="13"/>
        <v>30</v>
      </c>
      <c r="O20" s="86">
        <f t="shared" si="14"/>
        <v>19</v>
      </c>
      <c r="P20" s="284">
        <f t="shared" si="2"/>
        <v>11</v>
      </c>
      <c r="Q20" s="282">
        <f>Punteggio!I20</f>
        <v>1</v>
      </c>
      <c r="R20" s="86">
        <v>0</v>
      </c>
      <c r="S20" s="86">
        <f t="shared" si="15"/>
        <v>21</v>
      </c>
      <c r="T20" s="86">
        <f t="shared" si="16"/>
        <v>24</v>
      </c>
      <c r="U20" s="284">
        <f t="shared" si="3"/>
        <v>-3</v>
      </c>
      <c r="V20" s="282">
        <f>Punteggio!K20</f>
        <v>1</v>
      </c>
      <c r="W20" s="86">
        <v>0</v>
      </c>
      <c r="X20" s="86">
        <f t="shared" si="17"/>
        <v>29</v>
      </c>
      <c r="Y20" s="86">
        <f t="shared" si="18"/>
        <v>21</v>
      </c>
      <c r="Z20" s="284">
        <f t="shared" si="4"/>
        <v>8</v>
      </c>
      <c r="AA20" s="282">
        <f>Punteggio!M20</f>
        <v>0</v>
      </c>
      <c r="AB20" s="86">
        <v>0</v>
      </c>
      <c r="AC20" s="86">
        <f t="shared" si="19"/>
        <v>15</v>
      </c>
      <c r="AD20" s="86">
        <f t="shared" si="20"/>
        <v>16</v>
      </c>
      <c r="AE20" s="284">
        <f t="shared" si="5"/>
        <v>-1</v>
      </c>
      <c r="AF20" s="282">
        <f>Punteggio!O20</f>
        <v>3</v>
      </c>
      <c r="AG20" s="86">
        <v>3</v>
      </c>
      <c r="AH20" s="86">
        <f t="shared" si="21"/>
        <v>27</v>
      </c>
      <c r="AI20" s="86">
        <f t="shared" si="22"/>
        <v>24</v>
      </c>
      <c r="AJ20" s="284">
        <f t="shared" si="6"/>
        <v>3</v>
      </c>
      <c r="AK20" s="282">
        <f>Punteggio!Q20</f>
        <v>0</v>
      </c>
      <c r="AL20" s="86">
        <v>1</v>
      </c>
      <c r="AM20" s="86">
        <f t="shared" si="23"/>
        <v>12</v>
      </c>
      <c r="AN20" s="86">
        <f t="shared" si="24"/>
        <v>24</v>
      </c>
      <c r="AO20" s="284">
        <f t="shared" si="7"/>
        <v>-12</v>
      </c>
      <c r="AP20" s="282">
        <f>Punteggio!S20</f>
        <v>0</v>
      </c>
      <c r="AQ20" s="86">
        <v>3</v>
      </c>
      <c r="AR20" s="86">
        <f t="shared" si="25"/>
        <v>27</v>
      </c>
      <c r="AS20" s="86">
        <f t="shared" si="26"/>
        <v>34</v>
      </c>
      <c r="AT20" s="284">
        <f t="shared" si="8"/>
        <v>-7</v>
      </c>
      <c r="AU20" s="282">
        <f>Punteggio!U20</f>
        <v>3</v>
      </c>
      <c r="AV20" s="86">
        <v>3</v>
      </c>
      <c r="AW20" s="86">
        <f t="shared" si="27"/>
        <v>31</v>
      </c>
      <c r="AX20" s="86">
        <f t="shared" si="28"/>
        <v>34</v>
      </c>
      <c r="AY20" s="278">
        <f t="shared" si="9"/>
        <v>-3</v>
      </c>
    </row>
    <row r="21" spans="1:51" ht="15" x14ac:dyDescent="0.2">
      <c r="A21" s="276">
        <v>19</v>
      </c>
      <c r="B21" s="86">
        <f>Punteggio!C21</f>
        <v>3</v>
      </c>
      <c r="C21" s="86">
        <v>3</v>
      </c>
      <c r="D21" s="86">
        <f t="shared" ref="D21:E36" si="29">D20+B21</f>
        <v>32</v>
      </c>
      <c r="E21" s="86">
        <f t="shared" si="29"/>
        <v>26</v>
      </c>
      <c r="F21" s="284">
        <f t="shared" si="0"/>
        <v>6</v>
      </c>
      <c r="G21" s="282">
        <f>Punteggio!E21</f>
        <v>0</v>
      </c>
      <c r="H21" s="86">
        <v>3</v>
      </c>
      <c r="I21" s="86">
        <f t="shared" si="11"/>
        <v>30</v>
      </c>
      <c r="J21" s="86">
        <f t="shared" si="12"/>
        <v>32</v>
      </c>
      <c r="K21" s="284">
        <f t="shared" si="1"/>
        <v>-2</v>
      </c>
      <c r="L21" s="282">
        <f>Punteggio!G21</f>
        <v>3</v>
      </c>
      <c r="M21" s="86">
        <v>0</v>
      </c>
      <c r="N21" s="86">
        <f t="shared" si="13"/>
        <v>33</v>
      </c>
      <c r="O21" s="86">
        <f t="shared" si="14"/>
        <v>19</v>
      </c>
      <c r="P21" s="284">
        <f t="shared" si="2"/>
        <v>14</v>
      </c>
      <c r="Q21" s="282">
        <f>Punteggio!I21</f>
        <v>0</v>
      </c>
      <c r="R21" s="86">
        <v>0</v>
      </c>
      <c r="S21" s="86">
        <f t="shared" si="15"/>
        <v>21</v>
      </c>
      <c r="T21" s="86">
        <f t="shared" si="16"/>
        <v>24</v>
      </c>
      <c r="U21" s="284">
        <f t="shared" si="3"/>
        <v>-3</v>
      </c>
      <c r="V21" s="282">
        <f>Punteggio!K21</f>
        <v>0</v>
      </c>
      <c r="W21" s="86">
        <v>0</v>
      </c>
      <c r="X21" s="86">
        <f t="shared" si="17"/>
        <v>29</v>
      </c>
      <c r="Y21" s="86">
        <f t="shared" si="18"/>
        <v>21</v>
      </c>
      <c r="Z21" s="284">
        <f t="shared" si="4"/>
        <v>8</v>
      </c>
      <c r="AA21" s="282">
        <f>Punteggio!M21</f>
        <v>3</v>
      </c>
      <c r="AB21" s="86">
        <v>0</v>
      </c>
      <c r="AC21" s="86">
        <f t="shared" si="19"/>
        <v>18</v>
      </c>
      <c r="AD21" s="86">
        <f t="shared" si="20"/>
        <v>16</v>
      </c>
      <c r="AE21" s="284">
        <f t="shared" si="5"/>
        <v>2</v>
      </c>
      <c r="AF21" s="282">
        <f>Punteggio!O21</f>
        <v>3</v>
      </c>
      <c r="AG21" s="86">
        <v>0</v>
      </c>
      <c r="AH21" s="86">
        <f t="shared" si="21"/>
        <v>30</v>
      </c>
      <c r="AI21" s="86">
        <f t="shared" si="22"/>
        <v>24</v>
      </c>
      <c r="AJ21" s="284">
        <f t="shared" si="6"/>
        <v>6</v>
      </c>
      <c r="AK21" s="282">
        <f>Punteggio!Q21</f>
        <v>0</v>
      </c>
      <c r="AL21" s="86">
        <v>3</v>
      </c>
      <c r="AM21" s="86">
        <f t="shared" si="23"/>
        <v>12</v>
      </c>
      <c r="AN21" s="86">
        <f t="shared" si="24"/>
        <v>27</v>
      </c>
      <c r="AO21" s="284">
        <f t="shared" si="7"/>
        <v>-15</v>
      </c>
      <c r="AP21" s="282">
        <f>Punteggio!S21</f>
        <v>0</v>
      </c>
      <c r="AQ21" s="86">
        <v>3</v>
      </c>
      <c r="AR21" s="86">
        <f t="shared" si="25"/>
        <v>27</v>
      </c>
      <c r="AS21" s="86">
        <f t="shared" si="26"/>
        <v>37</v>
      </c>
      <c r="AT21" s="284">
        <f t="shared" si="8"/>
        <v>-10</v>
      </c>
      <c r="AU21" s="282">
        <f>Punteggio!U21</f>
        <v>3</v>
      </c>
      <c r="AV21" s="86">
        <v>3</v>
      </c>
      <c r="AW21" s="86">
        <f t="shared" si="27"/>
        <v>34</v>
      </c>
      <c r="AX21" s="86">
        <f t="shared" si="28"/>
        <v>37</v>
      </c>
      <c r="AY21" s="278">
        <f t="shared" si="9"/>
        <v>-3</v>
      </c>
    </row>
    <row r="22" spans="1:51" ht="15" x14ac:dyDescent="0.2">
      <c r="A22" s="276">
        <v>20</v>
      </c>
      <c r="B22" s="86">
        <f>Punteggio!C22</f>
        <v>1</v>
      </c>
      <c r="C22" s="86">
        <v>0</v>
      </c>
      <c r="D22" s="86">
        <f t="shared" si="29"/>
        <v>33</v>
      </c>
      <c r="E22" s="86">
        <f t="shared" si="29"/>
        <v>26</v>
      </c>
      <c r="F22" s="284">
        <f t="shared" si="0"/>
        <v>7</v>
      </c>
      <c r="G22" s="282">
        <f>Punteggio!E22</f>
        <v>1</v>
      </c>
      <c r="H22" s="86">
        <v>0</v>
      </c>
      <c r="I22" s="86">
        <f t="shared" si="11"/>
        <v>31</v>
      </c>
      <c r="J22" s="86">
        <f t="shared" si="12"/>
        <v>32</v>
      </c>
      <c r="K22" s="284">
        <f t="shared" si="1"/>
        <v>-1</v>
      </c>
      <c r="L22" s="282">
        <f>Punteggio!G22</f>
        <v>3</v>
      </c>
      <c r="M22" s="86">
        <v>0</v>
      </c>
      <c r="N22" s="86">
        <f t="shared" si="13"/>
        <v>36</v>
      </c>
      <c r="O22" s="86">
        <f t="shared" si="14"/>
        <v>19</v>
      </c>
      <c r="P22" s="284">
        <f t="shared" si="2"/>
        <v>17</v>
      </c>
      <c r="Q22" s="282">
        <f>Punteggio!I22</f>
        <v>0</v>
      </c>
      <c r="R22" s="86">
        <v>3</v>
      </c>
      <c r="S22" s="86">
        <f t="shared" si="15"/>
        <v>21</v>
      </c>
      <c r="T22" s="86">
        <f t="shared" si="16"/>
        <v>27</v>
      </c>
      <c r="U22" s="284">
        <f t="shared" si="3"/>
        <v>-6</v>
      </c>
      <c r="V22" s="282">
        <f>Punteggio!K22</f>
        <v>0</v>
      </c>
      <c r="W22" s="86">
        <v>3</v>
      </c>
      <c r="X22" s="86">
        <f t="shared" si="17"/>
        <v>29</v>
      </c>
      <c r="Y22" s="86">
        <f t="shared" si="18"/>
        <v>24</v>
      </c>
      <c r="Z22" s="284">
        <f t="shared" si="4"/>
        <v>5</v>
      </c>
      <c r="AA22" s="282">
        <f>Punteggio!M22</f>
        <v>3</v>
      </c>
      <c r="AB22" s="86">
        <v>0</v>
      </c>
      <c r="AC22" s="86">
        <f t="shared" si="19"/>
        <v>21</v>
      </c>
      <c r="AD22" s="86">
        <f t="shared" si="20"/>
        <v>16</v>
      </c>
      <c r="AE22" s="284">
        <f t="shared" si="5"/>
        <v>5</v>
      </c>
      <c r="AF22" s="282">
        <f>Punteggio!O22</f>
        <v>0</v>
      </c>
      <c r="AG22" s="86">
        <v>3</v>
      </c>
      <c r="AH22" s="86">
        <f t="shared" si="21"/>
        <v>30</v>
      </c>
      <c r="AI22" s="86">
        <f t="shared" si="22"/>
        <v>27</v>
      </c>
      <c r="AJ22" s="284">
        <f t="shared" si="6"/>
        <v>3</v>
      </c>
      <c r="AK22" s="282">
        <f>Punteggio!Q22</f>
        <v>3</v>
      </c>
      <c r="AL22" s="86">
        <v>3</v>
      </c>
      <c r="AM22" s="86">
        <f t="shared" si="23"/>
        <v>15</v>
      </c>
      <c r="AN22" s="86">
        <f t="shared" si="24"/>
        <v>30</v>
      </c>
      <c r="AO22" s="284">
        <f t="shared" si="7"/>
        <v>-15</v>
      </c>
      <c r="AP22" s="282">
        <f>Punteggio!S22</f>
        <v>3</v>
      </c>
      <c r="AQ22" s="86">
        <v>3</v>
      </c>
      <c r="AR22" s="86">
        <f t="shared" si="25"/>
        <v>30</v>
      </c>
      <c r="AS22" s="86">
        <f t="shared" si="26"/>
        <v>40</v>
      </c>
      <c r="AT22" s="284">
        <f t="shared" si="8"/>
        <v>-10</v>
      </c>
      <c r="AU22" s="282">
        <f>Punteggio!U22</f>
        <v>0</v>
      </c>
      <c r="AV22" s="86">
        <v>0</v>
      </c>
      <c r="AW22" s="86">
        <f t="shared" si="27"/>
        <v>34</v>
      </c>
      <c r="AX22" s="86">
        <f t="shared" si="28"/>
        <v>37</v>
      </c>
      <c r="AY22" s="278">
        <f t="shared" si="9"/>
        <v>-3</v>
      </c>
    </row>
    <row r="23" spans="1:51" ht="15" x14ac:dyDescent="0.2">
      <c r="A23" s="276">
        <v>21</v>
      </c>
      <c r="B23" s="86">
        <f>Punteggio!C23</f>
        <v>0</v>
      </c>
      <c r="C23" s="86">
        <v>3</v>
      </c>
      <c r="D23" s="86">
        <f t="shared" si="29"/>
        <v>33</v>
      </c>
      <c r="E23" s="86">
        <f t="shared" si="29"/>
        <v>29</v>
      </c>
      <c r="F23" s="284">
        <f t="shared" si="0"/>
        <v>4</v>
      </c>
      <c r="G23" s="282">
        <f>Punteggio!E23</f>
        <v>0</v>
      </c>
      <c r="H23" s="86">
        <v>0</v>
      </c>
      <c r="I23" s="86">
        <f t="shared" si="11"/>
        <v>31</v>
      </c>
      <c r="J23" s="86">
        <f t="shared" si="12"/>
        <v>32</v>
      </c>
      <c r="K23" s="284">
        <f t="shared" si="1"/>
        <v>-1</v>
      </c>
      <c r="L23" s="282">
        <f>Punteggio!G23</f>
        <v>3</v>
      </c>
      <c r="M23" s="86">
        <v>3</v>
      </c>
      <c r="N23" s="86">
        <f t="shared" si="13"/>
        <v>39</v>
      </c>
      <c r="O23" s="86">
        <f t="shared" si="14"/>
        <v>22</v>
      </c>
      <c r="P23" s="284">
        <f t="shared" si="2"/>
        <v>17</v>
      </c>
      <c r="Q23" s="282">
        <f>Punteggio!I23</f>
        <v>0</v>
      </c>
      <c r="R23" s="86">
        <v>0</v>
      </c>
      <c r="S23" s="86">
        <f t="shared" si="15"/>
        <v>21</v>
      </c>
      <c r="T23" s="86">
        <f t="shared" si="16"/>
        <v>27</v>
      </c>
      <c r="U23" s="284">
        <f t="shared" si="3"/>
        <v>-6</v>
      </c>
      <c r="V23" s="282">
        <f>Punteggio!K23</f>
        <v>3</v>
      </c>
      <c r="W23" s="86">
        <v>0</v>
      </c>
      <c r="X23" s="86">
        <f t="shared" si="17"/>
        <v>32</v>
      </c>
      <c r="Y23" s="86">
        <f t="shared" si="18"/>
        <v>24</v>
      </c>
      <c r="Z23" s="284">
        <f t="shared" si="4"/>
        <v>8</v>
      </c>
      <c r="AA23" s="282">
        <f>Punteggio!M23</f>
        <v>0</v>
      </c>
      <c r="AB23" s="86">
        <v>3</v>
      </c>
      <c r="AC23" s="86">
        <f t="shared" si="19"/>
        <v>21</v>
      </c>
      <c r="AD23" s="86">
        <f t="shared" si="20"/>
        <v>19</v>
      </c>
      <c r="AE23" s="284">
        <f t="shared" si="5"/>
        <v>2</v>
      </c>
      <c r="AF23" s="282">
        <f>Punteggio!O23</f>
        <v>3</v>
      </c>
      <c r="AG23" s="86">
        <v>0</v>
      </c>
      <c r="AH23" s="86">
        <f t="shared" si="21"/>
        <v>33</v>
      </c>
      <c r="AI23" s="86">
        <f t="shared" si="22"/>
        <v>27</v>
      </c>
      <c r="AJ23" s="284">
        <f t="shared" si="6"/>
        <v>6</v>
      </c>
      <c r="AK23" s="282">
        <f>Punteggio!Q23</f>
        <v>3</v>
      </c>
      <c r="AL23" s="86">
        <v>3</v>
      </c>
      <c r="AM23" s="86">
        <f t="shared" si="23"/>
        <v>18</v>
      </c>
      <c r="AN23" s="86">
        <f t="shared" si="24"/>
        <v>33</v>
      </c>
      <c r="AO23" s="284">
        <f t="shared" si="7"/>
        <v>-15</v>
      </c>
      <c r="AP23" s="282">
        <f>Punteggio!S23</f>
        <v>0</v>
      </c>
      <c r="AQ23" s="86">
        <v>0</v>
      </c>
      <c r="AR23" s="86">
        <f t="shared" si="25"/>
        <v>30</v>
      </c>
      <c r="AS23" s="86">
        <f t="shared" si="26"/>
        <v>40</v>
      </c>
      <c r="AT23" s="284">
        <f t="shared" si="8"/>
        <v>-10</v>
      </c>
      <c r="AU23" s="282">
        <f>Punteggio!U23</f>
        <v>3</v>
      </c>
      <c r="AV23" s="86">
        <v>3</v>
      </c>
      <c r="AW23" s="86">
        <f t="shared" si="27"/>
        <v>37</v>
      </c>
      <c r="AX23" s="86">
        <f t="shared" si="28"/>
        <v>40</v>
      </c>
      <c r="AY23" s="278">
        <f t="shared" si="9"/>
        <v>-3</v>
      </c>
    </row>
    <row r="24" spans="1:51" ht="15" x14ac:dyDescent="0.2">
      <c r="A24" s="276">
        <v>22</v>
      </c>
      <c r="B24" s="86">
        <f>Punteggio!C24</f>
        <v>3</v>
      </c>
      <c r="C24" s="86">
        <v>3</v>
      </c>
      <c r="D24" s="86">
        <f t="shared" si="29"/>
        <v>36</v>
      </c>
      <c r="E24" s="86">
        <f t="shared" si="29"/>
        <v>32</v>
      </c>
      <c r="F24" s="284">
        <f t="shared" si="0"/>
        <v>4</v>
      </c>
      <c r="G24" s="282">
        <f>Punteggio!E24</f>
        <v>0</v>
      </c>
      <c r="H24" s="86">
        <v>0</v>
      </c>
      <c r="I24" s="86">
        <f t="shared" si="11"/>
        <v>31</v>
      </c>
      <c r="J24" s="86">
        <f t="shared" si="12"/>
        <v>32</v>
      </c>
      <c r="K24" s="284">
        <f t="shared" si="1"/>
        <v>-1</v>
      </c>
      <c r="L24" s="282">
        <f>Punteggio!G24</f>
        <v>0</v>
      </c>
      <c r="M24" s="86">
        <v>0</v>
      </c>
      <c r="N24" s="86">
        <f t="shared" si="13"/>
        <v>39</v>
      </c>
      <c r="O24" s="86">
        <f t="shared" si="14"/>
        <v>22</v>
      </c>
      <c r="P24" s="284">
        <f t="shared" si="2"/>
        <v>17</v>
      </c>
      <c r="Q24" s="282">
        <f>Punteggio!I24</f>
        <v>0</v>
      </c>
      <c r="R24" s="86">
        <v>3</v>
      </c>
      <c r="S24" s="86">
        <f t="shared" si="15"/>
        <v>21</v>
      </c>
      <c r="T24" s="86">
        <f t="shared" si="16"/>
        <v>30</v>
      </c>
      <c r="U24" s="284">
        <f t="shared" si="3"/>
        <v>-9</v>
      </c>
      <c r="V24" s="282">
        <f>Punteggio!K24</f>
        <v>3</v>
      </c>
      <c r="W24" s="86">
        <v>3</v>
      </c>
      <c r="X24" s="86">
        <f t="shared" si="17"/>
        <v>35</v>
      </c>
      <c r="Y24" s="86">
        <f t="shared" si="18"/>
        <v>27</v>
      </c>
      <c r="Z24" s="284">
        <f t="shared" si="4"/>
        <v>8</v>
      </c>
      <c r="AA24" s="282">
        <f>Punteggio!M24</f>
        <v>0</v>
      </c>
      <c r="AB24" s="86">
        <v>0</v>
      </c>
      <c r="AC24" s="86">
        <f t="shared" si="19"/>
        <v>21</v>
      </c>
      <c r="AD24" s="86">
        <f t="shared" si="20"/>
        <v>19</v>
      </c>
      <c r="AE24" s="284">
        <f t="shared" si="5"/>
        <v>2</v>
      </c>
      <c r="AF24" s="282">
        <f>Punteggio!O24</f>
        <v>0</v>
      </c>
      <c r="AG24" s="86">
        <v>3</v>
      </c>
      <c r="AH24" s="86">
        <f t="shared" si="21"/>
        <v>33</v>
      </c>
      <c r="AI24" s="86">
        <f t="shared" si="22"/>
        <v>30</v>
      </c>
      <c r="AJ24" s="284">
        <f t="shared" si="6"/>
        <v>3</v>
      </c>
      <c r="AK24" s="282">
        <f>Punteggio!Q24</f>
        <v>3</v>
      </c>
      <c r="AL24" s="86">
        <v>0</v>
      </c>
      <c r="AM24" s="86">
        <f t="shared" si="23"/>
        <v>21</v>
      </c>
      <c r="AN24" s="86">
        <f t="shared" si="24"/>
        <v>33</v>
      </c>
      <c r="AO24" s="284">
        <f t="shared" si="7"/>
        <v>-12</v>
      </c>
      <c r="AP24" s="282">
        <f>Punteggio!S24</f>
        <v>3</v>
      </c>
      <c r="AQ24" s="86">
        <v>0</v>
      </c>
      <c r="AR24" s="86">
        <f t="shared" si="25"/>
        <v>33</v>
      </c>
      <c r="AS24" s="86">
        <f t="shared" si="26"/>
        <v>40</v>
      </c>
      <c r="AT24" s="284">
        <f t="shared" si="8"/>
        <v>-7</v>
      </c>
      <c r="AU24" s="282">
        <f>Punteggio!U24</f>
        <v>3</v>
      </c>
      <c r="AV24" s="86">
        <v>3</v>
      </c>
      <c r="AW24" s="86">
        <f t="shared" si="27"/>
        <v>40</v>
      </c>
      <c r="AX24" s="86">
        <f t="shared" si="28"/>
        <v>43</v>
      </c>
      <c r="AY24" s="278">
        <f t="shared" si="9"/>
        <v>-3</v>
      </c>
    </row>
    <row r="25" spans="1:51" ht="15" x14ac:dyDescent="0.2">
      <c r="A25" s="276">
        <v>23</v>
      </c>
      <c r="B25" s="86">
        <f>Punteggio!C25</f>
        <v>0</v>
      </c>
      <c r="C25" s="86">
        <v>3</v>
      </c>
      <c r="D25" s="86">
        <f t="shared" si="29"/>
        <v>36</v>
      </c>
      <c r="E25" s="86">
        <f t="shared" si="29"/>
        <v>35</v>
      </c>
      <c r="F25" s="284">
        <f t="shared" si="0"/>
        <v>1</v>
      </c>
      <c r="G25" s="282">
        <f>Punteggio!E25</f>
        <v>1</v>
      </c>
      <c r="H25" s="86">
        <v>3</v>
      </c>
      <c r="I25" s="86">
        <f t="shared" si="11"/>
        <v>32</v>
      </c>
      <c r="J25" s="86">
        <f t="shared" si="12"/>
        <v>35</v>
      </c>
      <c r="K25" s="284">
        <f t="shared" si="1"/>
        <v>-3</v>
      </c>
      <c r="L25" s="282">
        <f>Punteggio!G25</f>
        <v>0</v>
      </c>
      <c r="M25" s="86">
        <v>0</v>
      </c>
      <c r="N25" s="86">
        <f t="shared" si="13"/>
        <v>39</v>
      </c>
      <c r="O25" s="86">
        <f t="shared" si="14"/>
        <v>22</v>
      </c>
      <c r="P25" s="284">
        <f t="shared" si="2"/>
        <v>17</v>
      </c>
      <c r="Q25" s="282">
        <f>Punteggio!I25</f>
        <v>3</v>
      </c>
      <c r="R25" s="86">
        <v>1</v>
      </c>
      <c r="S25" s="86">
        <f t="shared" si="15"/>
        <v>24</v>
      </c>
      <c r="T25" s="86">
        <f t="shared" si="16"/>
        <v>31</v>
      </c>
      <c r="U25" s="284">
        <f t="shared" si="3"/>
        <v>-7</v>
      </c>
      <c r="V25" s="282">
        <f>Punteggio!K25</f>
        <v>3</v>
      </c>
      <c r="W25" s="86">
        <v>1</v>
      </c>
      <c r="X25" s="86">
        <f t="shared" si="17"/>
        <v>38</v>
      </c>
      <c r="Y25" s="86">
        <f t="shared" si="18"/>
        <v>28</v>
      </c>
      <c r="Z25" s="284">
        <f t="shared" si="4"/>
        <v>10</v>
      </c>
      <c r="AA25" s="282">
        <f>Punteggio!M25</f>
        <v>0</v>
      </c>
      <c r="AB25" s="86">
        <v>3</v>
      </c>
      <c r="AC25" s="86">
        <f t="shared" si="19"/>
        <v>21</v>
      </c>
      <c r="AD25" s="86">
        <f t="shared" si="20"/>
        <v>22</v>
      </c>
      <c r="AE25" s="284">
        <f t="shared" si="5"/>
        <v>-1</v>
      </c>
      <c r="AF25" s="282">
        <f>Punteggio!O25</f>
        <v>0</v>
      </c>
      <c r="AG25" s="86">
        <v>0</v>
      </c>
      <c r="AH25" s="86">
        <f t="shared" si="21"/>
        <v>33</v>
      </c>
      <c r="AI25" s="86">
        <f t="shared" si="22"/>
        <v>30</v>
      </c>
      <c r="AJ25" s="284">
        <f t="shared" si="6"/>
        <v>3</v>
      </c>
      <c r="AK25" s="282">
        <f>Punteggio!Q25</f>
        <v>3</v>
      </c>
      <c r="AL25" s="86">
        <v>0</v>
      </c>
      <c r="AM25" s="86">
        <f t="shared" si="23"/>
        <v>24</v>
      </c>
      <c r="AN25" s="86">
        <f t="shared" si="24"/>
        <v>33</v>
      </c>
      <c r="AO25" s="284">
        <f t="shared" si="7"/>
        <v>-9</v>
      </c>
      <c r="AP25" s="282">
        <f>Punteggio!S25</f>
        <v>1</v>
      </c>
      <c r="AQ25" s="86">
        <v>0</v>
      </c>
      <c r="AR25" s="86">
        <f t="shared" si="25"/>
        <v>34</v>
      </c>
      <c r="AS25" s="86">
        <f t="shared" si="26"/>
        <v>40</v>
      </c>
      <c r="AT25" s="284">
        <f t="shared" si="8"/>
        <v>-6</v>
      </c>
      <c r="AU25" s="282">
        <f>Punteggio!U25</f>
        <v>3</v>
      </c>
      <c r="AV25" s="86">
        <v>3</v>
      </c>
      <c r="AW25" s="86">
        <f t="shared" si="27"/>
        <v>43</v>
      </c>
      <c r="AX25" s="86">
        <f t="shared" si="28"/>
        <v>46</v>
      </c>
      <c r="AY25" s="278">
        <f t="shared" si="9"/>
        <v>-3</v>
      </c>
    </row>
    <row r="26" spans="1:51" ht="15" x14ac:dyDescent="0.2">
      <c r="A26" s="276">
        <v>24</v>
      </c>
      <c r="B26" s="86">
        <f>Punteggio!C26</f>
        <v>3</v>
      </c>
      <c r="C26" s="86">
        <v>3</v>
      </c>
      <c r="D26" s="86">
        <f t="shared" si="29"/>
        <v>39</v>
      </c>
      <c r="E26" s="86">
        <f t="shared" si="29"/>
        <v>38</v>
      </c>
      <c r="F26" s="284">
        <f t="shared" si="0"/>
        <v>1</v>
      </c>
      <c r="G26" s="282">
        <f>Punteggio!E26</f>
        <v>3</v>
      </c>
      <c r="H26" s="86">
        <v>0</v>
      </c>
      <c r="I26" s="86">
        <f t="shared" si="11"/>
        <v>35</v>
      </c>
      <c r="J26" s="86">
        <f t="shared" si="12"/>
        <v>35</v>
      </c>
      <c r="K26" s="284">
        <f t="shared" si="1"/>
        <v>0</v>
      </c>
      <c r="L26" s="282">
        <f>Punteggio!G26</f>
        <v>0</v>
      </c>
      <c r="M26" s="86">
        <v>3</v>
      </c>
      <c r="N26" s="86">
        <f t="shared" si="13"/>
        <v>39</v>
      </c>
      <c r="O26" s="86">
        <f t="shared" si="14"/>
        <v>25</v>
      </c>
      <c r="P26" s="284">
        <f t="shared" si="2"/>
        <v>14</v>
      </c>
      <c r="Q26" s="282">
        <f>Punteggio!I26</f>
        <v>1</v>
      </c>
      <c r="R26" s="86">
        <v>3</v>
      </c>
      <c r="S26" s="86">
        <f t="shared" si="15"/>
        <v>25</v>
      </c>
      <c r="T26" s="86">
        <f t="shared" si="16"/>
        <v>34</v>
      </c>
      <c r="U26" s="284">
        <f t="shared" si="3"/>
        <v>-9</v>
      </c>
      <c r="V26" s="282">
        <f>Punteggio!K26</f>
        <v>3</v>
      </c>
      <c r="W26" s="86">
        <v>3</v>
      </c>
      <c r="X26" s="86">
        <f t="shared" si="17"/>
        <v>41</v>
      </c>
      <c r="Y26" s="86">
        <f t="shared" si="18"/>
        <v>31</v>
      </c>
      <c r="Z26" s="284">
        <f t="shared" si="4"/>
        <v>10</v>
      </c>
      <c r="AA26" s="282">
        <f>Punteggio!M26</f>
        <v>0</v>
      </c>
      <c r="AB26" s="86">
        <v>3</v>
      </c>
      <c r="AC26" s="86">
        <f t="shared" si="19"/>
        <v>21</v>
      </c>
      <c r="AD26" s="86">
        <f t="shared" si="20"/>
        <v>25</v>
      </c>
      <c r="AE26" s="284">
        <f t="shared" si="5"/>
        <v>-4</v>
      </c>
      <c r="AF26" s="282">
        <f>Punteggio!O26</f>
        <v>3</v>
      </c>
      <c r="AG26" s="86">
        <v>0</v>
      </c>
      <c r="AH26" s="86">
        <f t="shared" si="21"/>
        <v>36</v>
      </c>
      <c r="AI26" s="86">
        <f t="shared" si="22"/>
        <v>30</v>
      </c>
      <c r="AJ26" s="284">
        <f t="shared" si="6"/>
        <v>6</v>
      </c>
      <c r="AK26" s="282">
        <f>Punteggio!Q26</f>
        <v>0</v>
      </c>
      <c r="AL26" s="86">
        <v>0</v>
      </c>
      <c r="AM26" s="86">
        <f t="shared" si="23"/>
        <v>24</v>
      </c>
      <c r="AN26" s="86">
        <f t="shared" si="24"/>
        <v>33</v>
      </c>
      <c r="AO26" s="284">
        <f t="shared" si="7"/>
        <v>-9</v>
      </c>
      <c r="AP26" s="282">
        <f>Punteggio!S26</f>
        <v>0</v>
      </c>
      <c r="AQ26" s="86">
        <v>0</v>
      </c>
      <c r="AR26" s="86">
        <f t="shared" si="25"/>
        <v>34</v>
      </c>
      <c r="AS26" s="86">
        <f t="shared" si="26"/>
        <v>40</v>
      </c>
      <c r="AT26" s="284">
        <f t="shared" si="8"/>
        <v>-6</v>
      </c>
      <c r="AU26" s="282">
        <f>Punteggio!U26</f>
        <v>1</v>
      </c>
      <c r="AV26" s="86">
        <v>0</v>
      </c>
      <c r="AW26" s="86">
        <f t="shared" si="27"/>
        <v>44</v>
      </c>
      <c r="AX26" s="86">
        <f t="shared" si="28"/>
        <v>46</v>
      </c>
      <c r="AY26" s="278">
        <f t="shared" si="9"/>
        <v>-2</v>
      </c>
    </row>
    <row r="27" spans="1:51" ht="15" x14ac:dyDescent="0.2">
      <c r="A27" s="276">
        <v>25</v>
      </c>
      <c r="B27" s="86">
        <f>Punteggio!C27</f>
        <v>3</v>
      </c>
      <c r="C27" s="86">
        <v>1</v>
      </c>
      <c r="D27" s="86">
        <f t="shared" si="29"/>
        <v>42</v>
      </c>
      <c r="E27" s="86">
        <f t="shared" si="29"/>
        <v>39</v>
      </c>
      <c r="F27" s="284">
        <f t="shared" si="0"/>
        <v>3</v>
      </c>
      <c r="G27" s="282">
        <f>Punteggio!E27</f>
        <v>3</v>
      </c>
      <c r="H27" s="86">
        <v>0</v>
      </c>
      <c r="I27" s="86">
        <f t="shared" si="11"/>
        <v>38</v>
      </c>
      <c r="J27" s="86">
        <f t="shared" si="12"/>
        <v>35</v>
      </c>
      <c r="K27" s="284">
        <f t="shared" si="1"/>
        <v>3</v>
      </c>
      <c r="L27" s="282">
        <f>Punteggio!G27</f>
        <v>3</v>
      </c>
      <c r="M27" s="86">
        <v>0</v>
      </c>
      <c r="N27" s="86">
        <f t="shared" si="13"/>
        <v>42</v>
      </c>
      <c r="O27" s="86">
        <f t="shared" si="14"/>
        <v>25</v>
      </c>
      <c r="P27" s="284">
        <f t="shared" si="2"/>
        <v>17</v>
      </c>
      <c r="Q27" s="282">
        <f>Punteggio!I27</f>
        <v>0</v>
      </c>
      <c r="R27" s="86">
        <v>3</v>
      </c>
      <c r="S27" s="86">
        <f t="shared" si="15"/>
        <v>25</v>
      </c>
      <c r="T27" s="86">
        <f t="shared" si="16"/>
        <v>37</v>
      </c>
      <c r="U27" s="284">
        <f t="shared" si="3"/>
        <v>-12</v>
      </c>
      <c r="V27" s="282">
        <f>Punteggio!K27</f>
        <v>0</v>
      </c>
      <c r="W27" s="86">
        <v>1</v>
      </c>
      <c r="X27" s="86">
        <f t="shared" si="17"/>
        <v>41</v>
      </c>
      <c r="Y27" s="86">
        <f t="shared" si="18"/>
        <v>32</v>
      </c>
      <c r="Z27" s="284">
        <f t="shared" si="4"/>
        <v>9</v>
      </c>
      <c r="AA27" s="282">
        <f>Punteggio!M27</f>
        <v>3</v>
      </c>
      <c r="AB27" s="86">
        <v>3</v>
      </c>
      <c r="AC27" s="86">
        <f t="shared" si="19"/>
        <v>24</v>
      </c>
      <c r="AD27" s="86">
        <f t="shared" si="20"/>
        <v>28</v>
      </c>
      <c r="AE27" s="284">
        <f t="shared" si="5"/>
        <v>-4</v>
      </c>
      <c r="AF27" s="282">
        <f>Punteggio!O27</f>
        <v>0</v>
      </c>
      <c r="AG27" s="86">
        <v>1</v>
      </c>
      <c r="AH27" s="86">
        <f t="shared" si="21"/>
        <v>36</v>
      </c>
      <c r="AI27" s="86">
        <f t="shared" si="22"/>
        <v>31</v>
      </c>
      <c r="AJ27" s="284">
        <f t="shared" si="6"/>
        <v>5</v>
      </c>
      <c r="AK27" s="282">
        <f>Punteggio!Q27</f>
        <v>3</v>
      </c>
      <c r="AL27" s="86">
        <v>3</v>
      </c>
      <c r="AM27" s="86">
        <f t="shared" si="23"/>
        <v>27</v>
      </c>
      <c r="AN27" s="86">
        <f t="shared" si="24"/>
        <v>36</v>
      </c>
      <c r="AO27" s="284">
        <f t="shared" si="7"/>
        <v>-9</v>
      </c>
      <c r="AP27" s="282">
        <f>Punteggio!S27</f>
        <v>0</v>
      </c>
      <c r="AQ27" s="86">
        <v>0</v>
      </c>
      <c r="AR27" s="86">
        <f t="shared" si="25"/>
        <v>34</v>
      </c>
      <c r="AS27" s="86">
        <f t="shared" si="26"/>
        <v>40</v>
      </c>
      <c r="AT27" s="284">
        <f t="shared" si="8"/>
        <v>-6</v>
      </c>
      <c r="AU27" s="282">
        <f>Punteggio!U27</f>
        <v>0</v>
      </c>
      <c r="AV27" s="86">
        <v>1</v>
      </c>
      <c r="AW27" s="86">
        <f t="shared" si="27"/>
        <v>44</v>
      </c>
      <c r="AX27" s="86">
        <f t="shared" si="28"/>
        <v>47</v>
      </c>
      <c r="AY27" s="278">
        <f t="shared" si="9"/>
        <v>-3</v>
      </c>
    </row>
    <row r="28" spans="1:51" ht="15" x14ac:dyDescent="0.2">
      <c r="A28" s="276">
        <v>26</v>
      </c>
      <c r="B28" s="86">
        <f>Punteggio!C28</f>
        <v>0</v>
      </c>
      <c r="C28" s="86">
        <v>1</v>
      </c>
      <c r="D28" s="86">
        <f t="shared" si="29"/>
        <v>42</v>
      </c>
      <c r="E28" s="86">
        <f t="shared" si="29"/>
        <v>40</v>
      </c>
      <c r="F28" s="284">
        <f t="shared" si="0"/>
        <v>2</v>
      </c>
      <c r="G28" s="282">
        <f>Punteggio!E28</f>
        <v>0</v>
      </c>
      <c r="H28" s="86">
        <v>3</v>
      </c>
      <c r="I28" s="86">
        <f t="shared" si="11"/>
        <v>38</v>
      </c>
      <c r="J28" s="86">
        <f t="shared" si="12"/>
        <v>38</v>
      </c>
      <c r="K28" s="284">
        <f t="shared" si="1"/>
        <v>0</v>
      </c>
      <c r="L28" s="282">
        <f>Punteggio!G28</f>
        <v>0</v>
      </c>
      <c r="M28" s="86">
        <v>0</v>
      </c>
      <c r="N28" s="86">
        <f t="shared" si="13"/>
        <v>42</v>
      </c>
      <c r="O28" s="86">
        <f t="shared" si="14"/>
        <v>25</v>
      </c>
      <c r="P28" s="284">
        <f t="shared" si="2"/>
        <v>17</v>
      </c>
      <c r="Q28" s="282">
        <f>Punteggio!I28</f>
        <v>3</v>
      </c>
      <c r="R28" s="86">
        <v>3</v>
      </c>
      <c r="S28" s="86">
        <f t="shared" si="15"/>
        <v>28</v>
      </c>
      <c r="T28" s="86">
        <f t="shared" si="16"/>
        <v>40</v>
      </c>
      <c r="U28" s="284">
        <f t="shared" si="3"/>
        <v>-12</v>
      </c>
      <c r="V28" s="282">
        <f>Punteggio!K28</f>
        <v>3</v>
      </c>
      <c r="W28" s="86">
        <v>1</v>
      </c>
      <c r="X28" s="86">
        <f t="shared" si="17"/>
        <v>44</v>
      </c>
      <c r="Y28" s="86">
        <f t="shared" si="18"/>
        <v>33</v>
      </c>
      <c r="Z28" s="284">
        <f t="shared" si="4"/>
        <v>11</v>
      </c>
      <c r="AA28" s="282">
        <f>Punteggio!M28</f>
        <v>3</v>
      </c>
      <c r="AB28" s="86">
        <v>1</v>
      </c>
      <c r="AC28" s="86">
        <f t="shared" si="19"/>
        <v>27</v>
      </c>
      <c r="AD28" s="86">
        <f t="shared" si="20"/>
        <v>29</v>
      </c>
      <c r="AE28" s="284">
        <f t="shared" si="5"/>
        <v>-2</v>
      </c>
      <c r="AF28" s="282">
        <f>Punteggio!O28</f>
        <v>1</v>
      </c>
      <c r="AG28" s="86">
        <v>0</v>
      </c>
      <c r="AH28" s="86">
        <f t="shared" si="21"/>
        <v>37</v>
      </c>
      <c r="AI28" s="86">
        <f t="shared" si="22"/>
        <v>31</v>
      </c>
      <c r="AJ28" s="284">
        <f t="shared" si="6"/>
        <v>6</v>
      </c>
      <c r="AK28" s="282">
        <f>Punteggio!Q28</f>
        <v>0</v>
      </c>
      <c r="AL28" s="86">
        <v>1</v>
      </c>
      <c r="AM28" s="86">
        <f t="shared" si="23"/>
        <v>27</v>
      </c>
      <c r="AN28" s="86">
        <f t="shared" si="24"/>
        <v>37</v>
      </c>
      <c r="AO28" s="284">
        <f t="shared" si="7"/>
        <v>-10</v>
      </c>
      <c r="AP28" s="282">
        <f>Punteggio!S28</f>
        <v>3</v>
      </c>
      <c r="AQ28" s="86">
        <v>1</v>
      </c>
      <c r="AR28" s="86">
        <f t="shared" si="25"/>
        <v>37</v>
      </c>
      <c r="AS28" s="86">
        <f t="shared" si="26"/>
        <v>41</v>
      </c>
      <c r="AT28" s="284">
        <f t="shared" si="8"/>
        <v>-4</v>
      </c>
      <c r="AU28" s="282">
        <f>Punteggio!U28</f>
        <v>1</v>
      </c>
      <c r="AV28" s="86">
        <v>1</v>
      </c>
      <c r="AW28" s="86">
        <f t="shared" si="27"/>
        <v>45</v>
      </c>
      <c r="AX28" s="86">
        <f t="shared" si="28"/>
        <v>48</v>
      </c>
      <c r="AY28" s="278">
        <f t="shared" si="9"/>
        <v>-3</v>
      </c>
    </row>
    <row r="29" spans="1:51" ht="15" x14ac:dyDescent="0.2">
      <c r="A29" s="276">
        <v>27</v>
      </c>
      <c r="B29" s="86">
        <f>Punteggio!C29</f>
        <v>1</v>
      </c>
      <c r="C29" s="86">
        <v>0</v>
      </c>
      <c r="D29" s="86">
        <f t="shared" si="29"/>
        <v>43</v>
      </c>
      <c r="E29" s="86">
        <f t="shared" si="29"/>
        <v>40</v>
      </c>
      <c r="F29" s="284">
        <f t="shared" si="0"/>
        <v>3</v>
      </c>
      <c r="G29" s="282">
        <f>Punteggio!E29</f>
        <v>3</v>
      </c>
      <c r="H29" s="86">
        <v>0</v>
      </c>
      <c r="I29" s="86">
        <f t="shared" si="11"/>
        <v>41</v>
      </c>
      <c r="J29" s="86">
        <f t="shared" si="12"/>
        <v>38</v>
      </c>
      <c r="K29" s="284">
        <f t="shared" si="1"/>
        <v>3</v>
      </c>
      <c r="L29" s="282">
        <f>Punteggio!G29</f>
        <v>3</v>
      </c>
      <c r="M29" s="86">
        <v>1</v>
      </c>
      <c r="N29" s="86">
        <f t="shared" si="13"/>
        <v>45</v>
      </c>
      <c r="O29" s="86">
        <f t="shared" si="14"/>
        <v>26</v>
      </c>
      <c r="P29" s="284">
        <f t="shared" si="2"/>
        <v>19</v>
      </c>
      <c r="Q29" s="282">
        <f>Punteggio!I29</f>
        <v>0</v>
      </c>
      <c r="R29" s="86">
        <v>1</v>
      </c>
      <c r="S29" s="86">
        <f t="shared" si="15"/>
        <v>28</v>
      </c>
      <c r="T29" s="86">
        <f t="shared" si="16"/>
        <v>41</v>
      </c>
      <c r="U29" s="284">
        <f t="shared" si="3"/>
        <v>-13</v>
      </c>
      <c r="V29" s="282">
        <f>Punteggio!K29</f>
        <v>1</v>
      </c>
      <c r="W29" s="86">
        <v>3</v>
      </c>
      <c r="X29" s="86">
        <f t="shared" si="17"/>
        <v>45</v>
      </c>
      <c r="Y29" s="86">
        <f t="shared" si="18"/>
        <v>36</v>
      </c>
      <c r="Z29" s="284">
        <f t="shared" si="4"/>
        <v>9</v>
      </c>
      <c r="AA29" s="282">
        <f>Punteggio!M29</f>
        <v>1</v>
      </c>
      <c r="AB29" s="86">
        <v>3</v>
      </c>
      <c r="AC29" s="86">
        <f t="shared" si="19"/>
        <v>28</v>
      </c>
      <c r="AD29" s="86">
        <f t="shared" si="20"/>
        <v>32</v>
      </c>
      <c r="AE29" s="284">
        <f t="shared" si="5"/>
        <v>-4</v>
      </c>
      <c r="AF29" s="282">
        <f>Punteggio!O29</f>
        <v>1</v>
      </c>
      <c r="AG29" s="86">
        <v>1</v>
      </c>
      <c r="AH29" s="86">
        <f t="shared" si="21"/>
        <v>38</v>
      </c>
      <c r="AI29" s="86">
        <f t="shared" si="22"/>
        <v>32</v>
      </c>
      <c r="AJ29" s="284">
        <f t="shared" si="6"/>
        <v>6</v>
      </c>
      <c r="AK29" s="282">
        <f>Punteggio!Q29</f>
        <v>0</v>
      </c>
      <c r="AL29" s="86">
        <v>3</v>
      </c>
      <c r="AM29" s="86">
        <f t="shared" si="23"/>
        <v>27</v>
      </c>
      <c r="AN29" s="86">
        <f t="shared" si="24"/>
        <v>40</v>
      </c>
      <c r="AO29" s="284">
        <f t="shared" si="7"/>
        <v>-13</v>
      </c>
      <c r="AP29" s="282">
        <f>Punteggio!S29</f>
        <v>0</v>
      </c>
      <c r="AQ29" s="86">
        <v>1</v>
      </c>
      <c r="AR29" s="86">
        <f t="shared" si="25"/>
        <v>37</v>
      </c>
      <c r="AS29" s="86">
        <f t="shared" si="26"/>
        <v>42</v>
      </c>
      <c r="AT29" s="284">
        <f t="shared" si="8"/>
        <v>-5</v>
      </c>
      <c r="AU29" s="282">
        <f>Punteggio!U29</f>
        <v>3</v>
      </c>
      <c r="AV29" s="86">
        <v>0</v>
      </c>
      <c r="AW29" s="86">
        <f t="shared" si="27"/>
        <v>48</v>
      </c>
      <c r="AX29" s="86">
        <f t="shared" si="28"/>
        <v>48</v>
      </c>
      <c r="AY29" s="278">
        <f t="shared" si="9"/>
        <v>0</v>
      </c>
    </row>
    <row r="30" spans="1:51" ht="15" x14ac:dyDescent="0.2">
      <c r="A30" s="276">
        <v>28</v>
      </c>
      <c r="B30" s="86">
        <f>Punteggio!C30</f>
        <v>0</v>
      </c>
      <c r="C30" s="86">
        <v>1</v>
      </c>
      <c r="D30" s="86">
        <f t="shared" si="29"/>
        <v>43</v>
      </c>
      <c r="E30" s="86">
        <f t="shared" si="29"/>
        <v>41</v>
      </c>
      <c r="F30" s="284">
        <f t="shared" si="0"/>
        <v>2</v>
      </c>
      <c r="G30" s="282">
        <f>Punteggio!E30</f>
        <v>3</v>
      </c>
      <c r="H30" s="86">
        <v>1</v>
      </c>
      <c r="I30" s="86">
        <f t="shared" si="11"/>
        <v>44</v>
      </c>
      <c r="J30" s="86">
        <f t="shared" si="12"/>
        <v>39</v>
      </c>
      <c r="K30" s="284">
        <f t="shared" si="1"/>
        <v>5</v>
      </c>
      <c r="L30" s="282">
        <f>Punteggio!G30</f>
        <v>0</v>
      </c>
      <c r="M30" s="86">
        <v>1</v>
      </c>
      <c r="N30" s="86">
        <f t="shared" si="13"/>
        <v>45</v>
      </c>
      <c r="O30" s="86">
        <f t="shared" si="14"/>
        <v>27</v>
      </c>
      <c r="P30" s="284">
        <f t="shared" si="2"/>
        <v>18</v>
      </c>
      <c r="Q30" s="282">
        <f>Punteggio!I30</f>
        <v>0</v>
      </c>
      <c r="R30" s="86">
        <v>1</v>
      </c>
      <c r="S30" s="86">
        <f t="shared" si="15"/>
        <v>28</v>
      </c>
      <c r="T30" s="86">
        <f t="shared" si="16"/>
        <v>42</v>
      </c>
      <c r="U30" s="284">
        <f t="shared" si="3"/>
        <v>-14</v>
      </c>
      <c r="V30" s="282">
        <f>Punteggio!K30</f>
        <v>3</v>
      </c>
      <c r="W30" s="86">
        <v>3</v>
      </c>
      <c r="X30" s="86">
        <f t="shared" si="17"/>
        <v>48</v>
      </c>
      <c r="Y30" s="86">
        <f t="shared" si="18"/>
        <v>39</v>
      </c>
      <c r="Z30" s="284">
        <f t="shared" si="4"/>
        <v>9</v>
      </c>
      <c r="AA30" s="282">
        <f>Punteggio!M30</f>
        <v>0</v>
      </c>
      <c r="AB30" s="86">
        <v>1</v>
      </c>
      <c r="AC30" s="86">
        <f t="shared" si="19"/>
        <v>28</v>
      </c>
      <c r="AD30" s="86">
        <f t="shared" si="20"/>
        <v>33</v>
      </c>
      <c r="AE30" s="284">
        <f t="shared" si="5"/>
        <v>-5</v>
      </c>
      <c r="AF30" s="282">
        <f>Punteggio!O30</f>
        <v>3</v>
      </c>
      <c r="AG30" s="86">
        <v>1</v>
      </c>
      <c r="AH30" s="86">
        <f t="shared" si="21"/>
        <v>41</v>
      </c>
      <c r="AI30" s="86">
        <f t="shared" si="22"/>
        <v>33</v>
      </c>
      <c r="AJ30" s="284">
        <f t="shared" si="6"/>
        <v>8</v>
      </c>
      <c r="AK30" s="282">
        <f>Punteggio!Q30</f>
        <v>3</v>
      </c>
      <c r="AL30" s="86">
        <v>0</v>
      </c>
      <c r="AM30" s="86">
        <f t="shared" si="23"/>
        <v>30</v>
      </c>
      <c r="AN30" s="86">
        <f t="shared" si="24"/>
        <v>40</v>
      </c>
      <c r="AO30" s="284">
        <f t="shared" si="7"/>
        <v>-10</v>
      </c>
      <c r="AP30" s="282">
        <f>Punteggio!S30</f>
        <v>3</v>
      </c>
      <c r="AQ30" s="86">
        <v>1</v>
      </c>
      <c r="AR30" s="86">
        <f t="shared" si="25"/>
        <v>40</v>
      </c>
      <c r="AS30" s="86">
        <f t="shared" si="26"/>
        <v>43</v>
      </c>
      <c r="AT30" s="284">
        <f t="shared" si="8"/>
        <v>-3</v>
      </c>
      <c r="AU30" s="282">
        <f>Punteggio!U30</f>
        <v>0</v>
      </c>
      <c r="AV30" s="86">
        <v>1</v>
      </c>
      <c r="AW30" s="86">
        <f t="shared" si="27"/>
        <v>48</v>
      </c>
      <c r="AX30" s="86">
        <f t="shared" si="28"/>
        <v>49</v>
      </c>
      <c r="AY30" s="278">
        <f t="shared" si="9"/>
        <v>-1</v>
      </c>
    </row>
    <row r="31" spans="1:51" ht="15" x14ac:dyDescent="0.2">
      <c r="A31" s="276">
        <v>29</v>
      </c>
      <c r="B31" s="86">
        <f>Punteggio!C31</f>
        <v>0</v>
      </c>
      <c r="C31" s="86">
        <v>3</v>
      </c>
      <c r="D31" s="86">
        <f t="shared" si="29"/>
        <v>43</v>
      </c>
      <c r="E31" s="86">
        <f t="shared" si="29"/>
        <v>44</v>
      </c>
      <c r="F31" s="284">
        <f t="shared" si="0"/>
        <v>-1</v>
      </c>
      <c r="G31" s="282">
        <f>Punteggio!E31</f>
        <v>3</v>
      </c>
      <c r="H31" s="86">
        <v>3</v>
      </c>
      <c r="I31" s="86">
        <f t="shared" si="11"/>
        <v>47</v>
      </c>
      <c r="J31" s="86">
        <f t="shared" si="12"/>
        <v>42</v>
      </c>
      <c r="K31" s="284">
        <f t="shared" si="1"/>
        <v>5</v>
      </c>
      <c r="L31" s="282">
        <f>Punteggio!G31</f>
        <v>1</v>
      </c>
      <c r="M31" s="86">
        <v>3</v>
      </c>
      <c r="N31" s="86">
        <f t="shared" si="13"/>
        <v>46</v>
      </c>
      <c r="O31" s="86">
        <f t="shared" si="14"/>
        <v>30</v>
      </c>
      <c r="P31" s="284">
        <f t="shared" si="2"/>
        <v>16</v>
      </c>
      <c r="Q31" s="282">
        <f>Punteggio!I31</f>
        <v>3</v>
      </c>
      <c r="R31" s="86">
        <v>0</v>
      </c>
      <c r="S31" s="86">
        <f t="shared" si="15"/>
        <v>31</v>
      </c>
      <c r="T31" s="86">
        <f t="shared" si="16"/>
        <v>42</v>
      </c>
      <c r="U31" s="284">
        <f t="shared" si="3"/>
        <v>-11</v>
      </c>
      <c r="V31" s="282">
        <f>Punteggio!K31</f>
        <v>3</v>
      </c>
      <c r="W31" s="86">
        <v>0</v>
      </c>
      <c r="X31" s="86">
        <f t="shared" si="17"/>
        <v>51</v>
      </c>
      <c r="Y31" s="86">
        <f t="shared" si="18"/>
        <v>39</v>
      </c>
      <c r="Z31" s="284">
        <f t="shared" si="4"/>
        <v>12</v>
      </c>
      <c r="AA31" s="282">
        <f>Punteggio!M31</f>
        <v>0</v>
      </c>
      <c r="AB31" s="86">
        <v>0</v>
      </c>
      <c r="AC31" s="86">
        <f t="shared" si="19"/>
        <v>28</v>
      </c>
      <c r="AD31" s="86">
        <f t="shared" si="20"/>
        <v>33</v>
      </c>
      <c r="AE31" s="284">
        <f t="shared" si="5"/>
        <v>-5</v>
      </c>
      <c r="AF31" s="282">
        <f>Punteggio!O31</f>
        <v>1</v>
      </c>
      <c r="AG31" s="86">
        <v>3</v>
      </c>
      <c r="AH31" s="86">
        <f t="shared" si="21"/>
        <v>42</v>
      </c>
      <c r="AI31" s="86">
        <f t="shared" si="22"/>
        <v>36</v>
      </c>
      <c r="AJ31" s="284">
        <f t="shared" si="6"/>
        <v>6</v>
      </c>
      <c r="AK31" s="282">
        <f>Punteggio!Q31</f>
        <v>0</v>
      </c>
      <c r="AL31" s="86">
        <v>3</v>
      </c>
      <c r="AM31" s="86">
        <f t="shared" si="23"/>
        <v>30</v>
      </c>
      <c r="AN31" s="86">
        <f t="shared" si="24"/>
        <v>43</v>
      </c>
      <c r="AO31" s="284">
        <f t="shared" si="7"/>
        <v>-13</v>
      </c>
      <c r="AP31" s="282">
        <f>Punteggio!S31</f>
        <v>0</v>
      </c>
      <c r="AQ31" s="86">
        <v>0</v>
      </c>
      <c r="AR31" s="86">
        <f t="shared" si="25"/>
        <v>40</v>
      </c>
      <c r="AS31" s="86">
        <f t="shared" si="26"/>
        <v>43</v>
      </c>
      <c r="AT31" s="284">
        <f t="shared" si="8"/>
        <v>-3</v>
      </c>
      <c r="AU31" s="282">
        <f>Punteggio!U31</f>
        <v>3</v>
      </c>
      <c r="AV31" s="86">
        <v>0</v>
      </c>
      <c r="AW31" s="86">
        <f t="shared" si="27"/>
        <v>51</v>
      </c>
      <c r="AX31" s="86">
        <f t="shared" si="28"/>
        <v>49</v>
      </c>
      <c r="AY31" s="278">
        <f t="shared" si="9"/>
        <v>2</v>
      </c>
    </row>
    <row r="32" spans="1:51" ht="15" x14ac:dyDescent="0.2">
      <c r="A32" s="276">
        <v>30</v>
      </c>
      <c r="B32" s="86">
        <f>Punteggio!C32</f>
        <v>0</v>
      </c>
      <c r="C32" s="86">
        <v>3</v>
      </c>
      <c r="D32" s="86">
        <f t="shared" si="29"/>
        <v>43</v>
      </c>
      <c r="E32" s="86">
        <f t="shared" si="29"/>
        <v>47</v>
      </c>
      <c r="F32" s="284">
        <f t="shared" si="0"/>
        <v>-4</v>
      </c>
      <c r="G32" s="282">
        <f>Punteggio!E32</f>
        <v>3</v>
      </c>
      <c r="H32" s="86">
        <v>1</v>
      </c>
      <c r="I32" s="86">
        <f t="shared" si="11"/>
        <v>50</v>
      </c>
      <c r="J32" s="86">
        <f t="shared" si="12"/>
        <v>43</v>
      </c>
      <c r="K32" s="284">
        <f t="shared" si="1"/>
        <v>7</v>
      </c>
      <c r="L32" s="282">
        <f>Punteggio!G32</f>
        <v>3</v>
      </c>
      <c r="M32" s="86">
        <v>3</v>
      </c>
      <c r="N32" s="86">
        <f t="shared" si="13"/>
        <v>49</v>
      </c>
      <c r="O32" s="86">
        <f t="shared" si="14"/>
        <v>33</v>
      </c>
      <c r="P32" s="284">
        <f t="shared" si="2"/>
        <v>16</v>
      </c>
      <c r="Q32" s="282">
        <f>Punteggio!I32</f>
        <v>3</v>
      </c>
      <c r="R32" s="86">
        <v>0</v>
      </c>
      <c r="S32" s="86">
        <f t="shared" si="15"/>
        <v>34</v>
      </c>
      <c r="T32" s="86">
        <f t="shared" si="16"/>
        <v>42</v>
      </c>
      <c r="U32" s="284">
        <f t="shared" si="3"/>
        <v>-8</v>
      </c>
      <c r="V32" s="282">
        <f>Punteggio!K32</f>
        <v>0</v>
      </c>
      <c r="W32" s="86">
        <v>3</v>
      </c>
      <c r="X32" s="86">
        <f t="shared" si="17"/>
        <v>51</v>
      </c>
      <c r="Y32" s="86">
        <f t="shared" si="18"/>
        <v>42</v>
      </c>
      <c r="Z32" s="284">
        <f t="shared" si="4"/>
        <v>9</v>
      </c>
      <c r="AA32" s="282">
        <f>Punteggio!M32</f>
        <v>0</v>
      </c>
      <c r="AB32" s="86">
        <v>0</v>
      </c>
      <c r="AC32" s="86">
        <f t="shared" si="19"/>
        <v>28</v>
      </c>
      <c r="AD32" s="86">
        <f t="shared" si="20"/>
        <v>33</v>
      </c>
      <c r="AE32" s="284">
        <f t="shared" si="5"/>
        <v>-5</v>
      </c>
      <c r="AF32" s="282">
        <f>Punteggio!O32</f>
        <v>0</v>
      </c>
      <c r="AG32" s="86">
        <v>0</v>
      </c>
      <c r="AH32" s="86">
        <f t="shared" si="21"/>
        <v>42</v>
      </c>
      <c r="AI32" s="86">
        <f t="shared" si="22"/>
        <v>36</v>
      </c>
      <c r="AJ32" s="284">
        <f t="shared" si="6"/>
        <v>6</v>
      </c>
      <c r="AK32" s="282">
        <f>Punteggio!Q32</f>
        <v>3</v>
      </c>
      <c r="AL32" s="86">
        <v>3</v>
      </c>
      <c r="AM32" s="86">
        <f t="shared" si="23"/>
        <v>33</v>
      </c>
      <c r="AN32" s="86">
        <f t="shared" si="24"/>
        <v>46</v>
      </c>
      <c r="AO32" s="284">
        <f t="shared" si="7"/>
        <v>-13</v>
      </c>
      <c r="AP32" s="282">
        <f>Punteggio!S32</f>
        <v>0</v>
      </c>
      <c r="AQ32" s="86">
        <v>0</v>
      </c>
      <c r="AR32" s="86">
        <f t="shared" si="25"/>
        <v>40</v>
      </c>
      <c r="AS32" s="86">
        <f t="shared" si="26"/>
        <v>43</v>
      </c>
      <c r="AT32" s="284">
        <f t="shared" si="8"/>
        <v>-3</v>
      </c>
      <c r="AU32" s="282">
        <f>Punteggio!U32</f>
        <v>3</v>
      </c>
      <c r="AV32" s="86">
        <v>1</v>
      </c>
      <c r="AW32" s="86">
        <f t="shared" si="27"/>
        <v>54</v>
      </c>
      <c r="AX32" s="86">
        <f t="shared" si="28"/>
        <v>50</v>
      </c>
      <c r="AY32" s="278">
        <f t="shared" si="9"/>
        <v>4</v>
      </c>
    </row>
    <row r="33" spans="1:51" ht="15" x14ac:dyDescent="0.2">
      <c r="A33" s="276">
        <v>31</v>
      </c>
      <c r="B33" s="86">
        <f>Punteggio!C33</f>
        <v>0</v>
      </c>
      <c r="C33" s="86">
        <v>1</v>
      </c>
      <c r="D33" s="86">
        <f t="shared" si="29"/>
        <v>43</v>
      </c>
      <c r="E33" s="86">
        <f t="shared" si="29"/>
        <v>48</v>
      </c>
      <c r="F33" s="284">
        <f t="shared" si="0"/>
        <v>-5</v>
      </c>
      <c r="G33" s="282">
        <f>Punteggio!E33</f>
        <v>3</v>
      </c>
      <c r="H33" s="86">
        <v>1</v>
      </c>
      <c r="I33" s="86">
        <f t="shared" si="11"/>
        <v>53</v>
      </c>
      <c r="J33" s="86">
        <f t="shared" si="12"/>
        <v>44</v>
      </c>
      <c r="K33" s="284">
        <f t="shared" si="1"/>
        <v>9</v>
      </c>
      <c r="L33" s="282">
        <f>Punteggio!G33</f>
        <v>1</v>
      </c>
      <c r="M33" s="86">
        <v>0</v>
      </c>
      <c r="N33" s="86">
        <f t="shared" si="13"/>
        <v>50</v>
      </c>
      <c r="O33" s="86">
        <f t="shared" si="14"/>
        <v>33</v>
      </c>
      <c r="P33" s="284">
        <f t="shared" si="2"/>
        <v>17</v>
      </c>
      <c r="Q33" s="282">
        <f>Punteggio!I33</f>
        <v>0</v>
      </c>
      <c r="R33" s="86">
        <v>0</v>
      </c>
      <c r="S33" s="86">
        <f t="shared" si="15"/>
        <v>34</v>
      </c>
      <c r="T33" s="86">
        <f t="shared" si="16"/>
        <v>42</v>
      </c>
      <c r="U33" s="284">
        <f t="shared" si="3"/>
        <v>-8</v>
      </c>
      <c r="V33" s="282">
        <f>Punteggio!K33</f>
        <v>1</v>
      </c>
      <c r="W33" s="86">
        <v>0</v>
      </c>
      <c r="X33" s="86">
        <f t="shared" si="17"/>
        <v>52</v>
      </c>
      <c r="Y33" s="86">
        <f t="shared" si="18"/>
        <v>42</v>
      </c>
      <c r="Z33" s="284">
        <f t="shared" si="4"/>
        <v>10</v>
      </c>
      <c r="AA33" s="282">
        <f>Punteggio!M33</f>
        <v>3</v>
      </c>
      <c r="AB33" s="86">
        <v>3</v>
      </c>
      <c r="AC33" s="86">
        <f t="shared" si="19"/>
        <v>31</v>
      </c>
      <c r="AD33" s="86">
        <f t="shared" si="20"/>
        <v>36</v>
      </c>
      <c r="AE33" s="284">
        <f t="shared" si="5"/>
        <v>-5</v>
      </c>
      <c r="AF33" s="282">
        <f>Punteggio!O33</f>
        <v>3</v>
      </c>
      <c r="AG33" s="86">
        <v>0</v>
      </c>
      <c r="AH33" s="86">
        <f t="shared" si="21"/>
        <v>45</v>
      </c>
      <c r="AI33" s="86">
        <f t="shared" si="22"/>
        <v>36</v>
      </c>
      <c r="AJ33" s="284">
        <f t="shared" si="6"/>
        <v>9</v>
      </c>
      <c r="AK33" s="282">
        <f>Punteggio!Q33</f>
        <v>3</v>
      </c>
      <c r="AL33" s="86">
        <v>3</v>
      </c>
      <c r="AM33" s="86">
        <f t="shared" si="23"/>
        <v>36</v>
      </c>
      <c r="AN33" s="86">
        <f t="shared" si="24"/>
        <v>49</v>
      </c>
      <c r="AO33" s="284">
        <f t="shared" si="7"/>
        <v>-13</v>
      </c>
      <c r="AP33" s="282">
        <f>Punteggio!S33</f>
        <v>0</v>
      </c>
      <c r="AQ33" s="86">
        <v>3</v>
      </c>
      <c r="AR33" s="86">
        <f t="shared" si="25"/>
        <v>40</v>
      </c>
      <c r="AS33" s="86">
        <f t="shared" si="26"/>
        <v>46</v>
      </c>
      <c r="AT33" s="284">
        <f t="shared" si="8"/>
        <v>-6</v>
      </c>
      <c r="AU33" s="282">
        <f>Punteggio!U33</f>
        <v>0</v>
      </c>
      <c r="AV33" s="86">
        <v>3</v>
      </c>
      <c r="AW33" s="86">
        <f t="shared" si="27"/>
        <v>54</v>
      </c>
      <c r="AX33" s="86">
        <f t="shared" si="28"/>
        <v>53</v>
      </c>
      <c r="AY33" s="278">
        <f t="shared" si="9"/>
        <v>1</v>
      </c>
    </row>
    <row r="34" spans="1:51" ht="15" x14ac:dyDescent="0.2">
      <c r="A34" s="276">
        <v>32</v>
      </c>
      <c r="B34" s="86">
        <f>Punteggio!C34</f>
        <v>3</v>
      </c>
      <c r="C34" s="86">
        <v>0</v>
      </c>
      <c r="D34" s="86">
        <f t="shared" si="29"/>
        <v>46</v>
      </c>
      <c r="E34" s="86">
        <f t="shared" si="29"/>
        <v>48</v>
      </c>
      <c r="F34" s="284">
        <f t="shared" si="0"/>
        <v>-2</v>
      </c>
      <c r="G34" s="282">
        <f>Punteggio!E34</f>
        <v>3</v>
      </c>
      <c r="H34" s="86">
        <v>0</v>
      </c>
      <c r="I34" s="86">
        <f t="shared" si="11"/>
        <v>56</v>
      </c>
      <c r="J34" s="86">
        <f t="shared" si="12"/>
        <v>44</v>
      </c>
      <c r="K34" s="284">
        <f t="shared" si="1"/>
        <v>12</v>
      </c>
      <c r="L34" s="282">
        <f>Punteggio!G34</f>
        <v>1</v>
      </c>
      <c r="M34" s="86">
        <v>3</v>
      </c>
      <c r="N34" s="86">
        <f t="shared" si="13"/>
        <v>51</v>
      </c>
      <c r="O34" s="86">
        <f t="shared" si="14"/>
        <v>36</v>
      </c>
      <c r="P34" s="284">
        <f t="shared" si="2"/>
        <v>15</v>
      </c>
      <c r="Q34" s="282">
        <f>Punteggio!I34</f>
        <v>0</v>
      </c>
      <c r="R34" s="86">
        <v>1</v>
      </c>
      <c r="S34" s="86">
        <f t="shared" si="15"/>
        <v>34</v>
      </c>
      <c r="T34" s="86">
        <f t="shared" si="16"/>
        <v>43</v>
      </c>
      <c r="U34" s="284">
        <f t="shared" si="3"/>
        <v>-9</v>
      </c>
      <c r="V34" s="282">
        <f>Punteggio!K34</f>
        <v>0</v>
      </c>
      <c r="W34" s="86">
        <v>1</v>
      </c>
      <c r="X34" s="86">
        <f t="shared" si="17"/>
        <v>52</v>
      </c>
      <c r="Y34" s="86">
        <f t="shared" si="18"/>
        <v>43</v>
      </c>
      <c r="Z34" s="284">
        <f t="shared" si="4"/>
        <v>9</v>
      </c>
      <c r="AA34" s="282">
        <f>Punteggio!M34</f>
        <v>0</v>
      </c>
      <c r="AB34" s="86">
        <v>0</v>
      </c>
      <c r="AC34" s="86">
        <f t="shared" si="19"/>
        <v>31</v>
      </c>
      <c r="AD34" s="86">
        <f t="shared" si="20"/>
        <v>36</v>
      </c>
      <c r="AE34" s="284">
        <f t="shared" si="5"/>
        <v>-5</v>
      </c>
      <c r="AF34" s="282">
        <f>Punteggio!O34</f>
        <v>3</v>
      </c>
      <c r="AG34" s="86">
        <v>3</v>
      </c>
      <c r="AH34" s="86">
        <f t="shared" si="21"/>
        <v>48</v>
      </c>
      <c r="AI34" s="86">
        <f t="shared" si="22"/>
        <v>39</v>
      </c>
      <c r="AJ34" s="284">
        <f t="shared" si="6"/>
        <v>9</v>
      </c>
      <c r="AK34" s="282">
        <f>Punteggio!Q34</f>
        <v>1</v>
      </c>
      <c r="AL34" s="86">
        <v>3</v>
      </c>
      <c r="AM34" s="86">
        <f t="shared" si="23"/>
        <v>37</v>
      </c>
      <c r="AN34" s="86">
        <f t="shared" si="24"/>
        <v>52</v>
      </c>
      <c r="AO34" s="284">
        <f t="shared" si="7"/>
        <v>-15</v>
      </c>
      <c r="AP34" s="282">
        <f>Punteggio!S34</f>
        <v>0</v>
      </c>
      <c r="AQ34" s="86">
        <v>0</v>
      </c>
      <c r="AR34" s="86">
        <f t="shared" si="25"/>
        <v>40</v>
      </c>
      <c r="AS34" s="86">
        <f t="shared" si="26"/>
        <v>46</v>
      </c>
      <c r="AT34" s="284">
        <f t="shared" si="8"/>
        <v>-6</v>
      </c>
      <c r="AU34" s="282">
        <f>Punteggio!U34</f>
        <v>3</v>
      </c>
      <c r="AV34" s="86">
        <v>3</v>
      </c>
      <c r="AW34" s="86">
        <f t="shared" si="27"/>
        <v>57</v>
      </c>
      <c r="AX34" s="86">
        <f t="shared" si="28"/>
        <v>56</v>
      </c>
      <c r="AY34" s="278">
        <f t="shared" si="9"/>
        <v>1</v>
      </c>
    </row>
    <row r="35" spans="1:51" ht="15" x14ac:dyDescent="0.2">
      <c r="A35" s="276">
        <v>33</v>
      </c>
      <c r="B35" s="86">
        <f>Punteggio!C35</f>
        <v>0</v>
      </c>
      <c r="C35" s="86">
        <v>1</v>
      </c>
      <c r="D35" s="86">
        <f t="shared" si="29"/>
        <v>46</v>
      </c>
      <c r="E35" s="86">
        <f t="shared" si="29"/>
        <v>49</v>
      </c>
      <c r="F35" s="284">
        <f t="shared" si="0"/>
        <v>-3</v>
      </c>
      <c r="G35" s="282">
        <f>Punteggio!E35</f>
        <v>3</v>
      </c>
      <c r="H35" s="86">
        <v>0</v>
      </c>
      <c r="I35" s="86">
        <f t="shared" si="11"/>
        <v>59</v>
      </c>
      <c r="J35" s="86">
        <f t="shared" si="12"/>
        <v>44</v>
      </c>
      <c r="K35" s="284">
        <f t="shared" si="1"/>
        <v>15</v>
      </c>
      <c r="L35" s="282">
        <f>Punteggio!G35</f>
        <v>3</v>
      </c>
      <c r="M35" s="86">
        <v>0</v>
      </c>
      <c r="N35" s="86">
        <f t="shared" si="13"/>
        <v>54</v>
      </c>
      <c r="O35" s="86">
        <f t="shared" si="14"/>
        <v>36</v>
      </c>
      <c r="P35" s="284">
        <f t="shared" si="2"/>
        <v>18</v>
      </c>
      <c r="Q35" s="282">
        <f>Punteggio!I35</f>
        <v>1</v>
      </c>
      <c r="R35" s="86">
        <v>0</v>
      </c>
      <c r="S35" s="86">
        <f t="shared" si="15"/>
        <v>35</v>
      </c>
      <c r="T35" s="86">
        <f t="shared" si="16"/>
        <v>43</v>
      </c>
      <c r="U35" s="284">
        <f t="shared" si="3"/>
        <v>-8</v>
      </c>
      <c r="V35" s="282">
        <f>Punteggio!K35</f>
        <v>3</v>
      </c>
      <c r="W35" s="86">
        <v>1</v>
      </c>
      <c r="X35" s="86">
        <f t="shared" si="17"/>
        <v>55</v>
      </c>
      <c r="Y35" s="86">
        <f t="shared" si="18"/>
        <v>44</v>
      </c>
      <c r="Z35" s="284">
        <f t="shared" si="4"/>
        <v>11</v>
      </c>
      <c r="AA35" s="282">
        <f>Punteggio!M35</f>
        <v>0</v>
      </c>
      <c r="AB35" s="86">
        <v>3</v>
      </c>
      <c r="AC35" s="86">
        <f t="shared" si="19"/>
        <v>31</v>
      </c>
      <c r="AD35" s="86">
        <f t="shared" si="20"/>
        <v>39</v>
      </c>
      <c r="AE35" s="284">
        <f t="shared" si="5"/>
        <v>-8</v>
      </c>
      <c r="AF35" s="282">
        <f>Punteggio!O35</f>
        <v>1</v>
      </c>
      <c r="AG35" s="86">
        <v>3</v>
      </c>
      <c r="AH35" s="86">
        <f t="shared" si="21"/>
        <v>49</v>
      </c>
      <c r="AI35" s="86">
        <f t="shared" si="22"/>
        <v>42</v>
      </c>
      <c r="AJ35" s="284">
        <f t="shared" si="6"/>
        <v>7</v>
      </c>
      <c r="AK35" s="282">
        <f>Punteggio!Q35</f>
        <v>1</v>
      </c>
      <c r="AL35" s="86">
        <v>3</v>
      </c>
      <c r="AM35" s="86">
        <f t="shared" si="23"/>
        <v>38</v>
      </c>
      <c r="AN35" s="86">
        <f t="shared" si="24"/>
        <v>55</v>
      </c>
      <c r="AO35" s="284">
        <f t="shared" si="7"/>
        <v>-17</v>
      </c>
      <c r="AP35" s="282">
        <f>Punteggio!S35</f>
        <v>0</v>
      </c>
      <c r="AQ35" s="86">
        <v>1</v>
      </c>
      <c r="AR35" s="86">
        <f t="shared" si="25"/>
        <v>40</v>
      </c>
      <c r="AS35" s="86">
        <f t="shared" si="26"/>
        <v>47</v>
      </c>
      <c r="AT35" s="284">
        <f t="shared" si="8"/>
        <v>-7</v>
      </c>
      <c r="AU35" s="282">
        <f>Punteggio!U35</f>
        <v>1</v>
      </c>
      <c r="AV35" s="86">
        <v>1</v>
      </c>
      <c r="AW35" s="86">
        <f t="shared" si="27"/>
        <v>58</v>
      </c>
      <c r="AX35" s="86">
        <f t="shared" si="28"/>
        <v>57</v>
      </c>
      <c r="AY35" s="278">
        <f t="shared" si="9"/>
        <v>1</v>
      </c>
    </row>
    <row r="36" spans="1:51" ht="15" x14ac:dyDescent="0.2">
      <c r="A36" s="276">
        <v>34</v>
      </c>
      <c r="B36" s="86">
        <f>Punteggio!C36</f>
        <v>3</v>
      </c>
      <c r="C36" s="86">
        <v>1</v>
      </c>
      <c r="D36" s="86">
        <f t="shared" si="29"/>
        <v>49</v>
      </c>
      <c r="E36" s="86">
        <f t="shared" si="29"/>
        <v>50</v>
      </c>
      <c r="F36" s="284">
        <f t="shared" si="0"/>
        <v>-1</v>
      </c>
      <c r="G36" s="282">
        <f>Punteggio!E36</f>
        <v>3</v>
      </c>
      <c r="H36" s="86">
        <v>3</v>
      </c>
      <c r="I36" s="86">
        <f t="shared" si="11"/>
        <v>62</v>
      </c>
      <c r="J36" s="86">
        <f t="shared" si="12"/>
        <v>47</v>
      </c>
      <c r="K36" s="284">
        <f t="shared" si="1"/>
        <v>15</v>
      </c>
      <c r="L36" s="282">
        <f>Punteggio!G36</f>
        <v>1</v>
      </c>
      <c r="M36" s="86">
        <v>0</v>
      </c>
      <c r="N36" s="86">
        <f t="shared" si="13"/>
        <v>55</v>
      </c>
      <c r="O36" s="86">
        <f t="shared" si="14"/>
        <v>36</v>
      </c>
      <c r="P36" s="284">
        <f t="shared" si="2"/>
        <v>19</v>
      </c>
      <c r="Q36" s="282">
        <f>Punteggio!I36</f>
        <v>0</v>
      </c>
      <c r="R36" s="86">
        <v>0</v>
      </c>
      <c r="S36" s="86">
        <f t="shared" si="15"/>
        <v>35</v>
      </c>
      <c r="T36" s="86">
        <f t="shared" si="16"/>
        <v>43</v>
      </c>
      <c r="U36" s="284">
        <f t="shared" si="3"/>
        <v>-8</v>
      </c>
      <c r="V36" s="282">
        <f>Punteggio!K36</f>
        <v>0</v>
      </c>
      <c r="W36" s="86">
        <v>3</v>
      </c>
      <c r="X36" s="86">
        <f t="shared" si="17"/>
        <v>55</v>
      </c>
      <c r="Y36" s="86">
        <f t="shared" si="18"/>
        <v>47</v>
      </c>
      <c r="Z36" s="284">
        <f t="shared" si="4"/>
        <v>8</v>
      </c>
      <c r="AA36" s="282">
        <f>Punteggio!M36</f>
        <v>3</v>
      </c>
      <c r="AB36" s="86">
        <v>3</v>
      </c>
      <c r="AC36" s="86">
        <f t="shared" si="19"/>
        <v>34</v>
      </c>
      <c r="AD36" s="86">
        <f t="shared" si="20"/>
        <v>42</v>
      </c>
      <c r="AE36" s="284">
        <f t="shared" si="5"/>
        <v>-8</v>
      </c>
      <c r="AF36" s="282">
        <f>Punteggio!O36</f>
        <v>0</v>
      </c>
      <c r="AG36" s="86">
        <v>0</v>
      </c>
      <c r="AH36" s="86">
        <f t="shared" si="21"/>
        <v>49</v>
      </c>
      <c r="AI36" s="86">
        <f t="shared" si="22"/>
        <v>42</v>
      </c>
      <c r="AJ36" s="284">
        <f t="shared" si="6"/>
        <v>7</v>
      </c>
      <c r="AK36" s="282">
        <f>Punteggio!Q36</f>
        <v>0</v>
      </c>
      <c r="AL36" s="86">
        <v>0</v>
      </c>
      <c r="AM36" s="86">
        <f t="shared" si="23"/>
        <v>38</v>
      </c>
      <c r="AN36" s="86">
        <f t="shared" si="24"/>
        <v>55</v>
      </c>
      <c r="AO36" s="284">
        <f t="shared" si="7"/>
        <v>-17</v>
      </c>
      <c r="AP36" s="282">
        <f>Punteggio!S36</f>
        <v>3</v>
      </c>
      <c r="AQ36" s="86">
        <v>3</v>
      </c>
      <c r="AR36" s="86">
        <f t="shared" si="25"/>
        <v>43</v>
      </c>
      <c r="AS36" s="86">
        <f t="shared" si="26"/>
        <v>50</v>
      </c>
      <c r="AT36" s="284">
        <f t="shared" si="8"/>
        <v>-7</v>
      </c>
      <c r="AU36" s="282">
        <f>Punteggio!U36</f>
        <v>1</v>
      </c>
      <c r="AV36" s="86">
        <v>1</v>
      </c>
      <c r="AW36" s="86">
        <f t="shared" si="27"/>
        <v>59</v>
      </c>
      <c r="AX36" s="86">
        <f t="shared" si="28"/>
        <v>58</v>
      </c>
      <c r="AY36" s="278">
        <f t="shared" si="9"/>
        <v>1</v>
      </c>
    </row>
    <row r="37" spans="1:51" ht="15" x14ac:dyDescent="0.2">
      <c r="A37" s="276">
        <v>35</v>
      </c>
      <c r="B37" s="86">
        <f>Punteggio!C37</f>
        <v>3</v>
      </c>
      <c r="C37" s="86">
        <v>0</v>
      </c>
      <c r="D37" s="86">
        <f t="shared" ref="D37:E37" si="30">D36+B37</f>
        <v>52</v>
      </c>
      <c r="E37" s="86">
        <f t="shared" si="30"/>
        <v>50</v>
      </c>
      <c r="F37" s="284">
        <f t="shared" si="0"/>
        <v>2</v>
      </c>
      <c r="G37" s="282">
        <f>Punteggio!E37</f>
        <v>3</v>
      </c>
      <c r="H37" s="86">
        <v>1</v>
      </c>
      <c r="I37" s="86">
        <f t="shared" si="11"/>
        <v>65</v>
      </c>
      <c r="J37" s="86">
        <f t="shared" si="12"/>
        <v>48</v>
      </c>
      <c r="K37" s="284">
        <f t="shared" si="1"/>
        <v>17</v>
      </c>
      <c r="L37" s="282">
        <f>Punteggio!G37</f>
        <v>1</v>
      </c>
      <c r="M37" s="86">
        <v>0</v>
      </c>
      <c r="N37" s="86">
        <f t="shared" si="13"/>
        <v>56</v>
      </c>
      <c r="O37" s="86">
        <f t="shared" si="14"/>
        <v>36</v>
      </c>
      <c r="P37" s="284">
        <f t="shared" si="2"/>
        <v>20</v>
      </c>
      <c r="Q37" s="282">
        <f>Punteggio!I37</f>
        <v>0</v>
      </c>
      <c r="R37" s="86">
        <v>3</v>
      </c>
      <c r="S37" s="86">
        <f t="shared" si="15"/>
        <v>35</v>
      </c>
      <c r="T37" s="86">
        <f t="shared" si="16"/>
        <v>46</v>
      </c>
      <c r="U37" s="284">
        <f t="shared" si="3"/>
        <v>-11</v>
      </c>
      <c r="V37" s="282">
        <f>Punteggio!K37</f>
        <v>1</v>
      </c>
      <c r="W37" s="86">
        <v>3</v>
      </c>
      <c r="X37" s="86">
        <f t="shared" si="17"/>
        <v>56</v>
      </c>
      <c r="Y37" s="86">
        <f t="shared" si="18"/>
        <v>50</v>
      </c>
      <c r="Z37" s="284">
        <f t="shared" si="4"/>
        <v>6</v>
      </c>
      <c r="AA37" s="282">
        <f>Punteggio!M37</f>
        <v>1</v>
      </c>
      <c r="AB37" s="86">
        <v>1</v>
      </c>
      <c r="AC37" s="86">
        <f t="shared" si="19"/>
        <v>35</v>
      </c>
      <c r="AD37" s="86">
        <f t="shared" si="20"/>
        <v>43</v>
      </c>
      <c r="AE37" s="284">
        <f t="shared" si="5"/>
        <v>-8</v>
      </c>
      <c r="AF37" s="282">
        <f>Punteggio!O37</f>
        <v>1</v>
      </c>
      <c r="AG37" s="86">
        <v>1</v>
      </c>
      <c r="AH37" s="86">
        <f t="shared" si="21"/>
        <v>50</v>
      </c>
      <c r="AI37" s="86">
        <f t="shared" si="22"/>
        <v>43</v>
      </c>
      <c r="AJ37" s="284">
        <f t="shared" si="6"/>
        <v>7</v>
      </c>
      <c r="AK37" s="282">
        <f>Punteggio!Q37</f>
        <v>1</v>
      </c>
      <c r="AL37" s="86">
        <v>3</v>
      </c>
      <c r="AM37" s="86">
        <f t="shared" si="23"/>
        <v>39</v>
      </c>
      <c r="AN37" s="86">
        <f t="shared" si="24"/>
        <v>58</v>
      </c>
      <c r="AO37" s="284">
        <f t="shared" si="7"/>
        <v>-19</v>
      </c>
      <c r="AP37" s="282">
        <f>Punteggio!S37</f>
        <v>0</v>
      </c>
      <c r="AQ37" s="86">
        <v>1</v>
      </c>
      <c r="AR37" s="86">
        <f t="shared" si="25"/>
        <v>43</v>
      </c>
      <c r="AS37" s="86">
        <f t="shared" si="26"/>
        <v>51</v>
      </c>
      <c r="AT37" s="284">
        <f t="shared" si="8"/>
        <v>-8</v>
      </c>
      <c r="AU37" s="282">
        <f>Punteggio!U37</f>
        <v>1</v>
      </c>
      <c r="AV37" s="86">
        <v>0</v>
      </c>
      <c r="AW37" s="86">
        <f t="shared" si="27"/>
        <v>60</v>
      </c>
      <c r="AX37" s="86">
        <f t="shared" si="28"/>
        <v>58</v>
      </c>
      <c r="AY37" s="278">
        <f t="shared" si="9"/>
        <v>2</v>
      </c>
    </row>
    <row r="38" spans="1:51" ht="15" x14ac:dyDescent="0.2">
      <c r="A38" s="276">
        <v>36</v>
      </c>
      <c r="B38" s="86"/>
      <c r="C38" s="86"/>
      <c r="D38" s="86"/>
      <c r="E38" s="86"/>
      <c r="F38" s="284"/>
      <c r="G38" s="282"/>
      <c r="H38" s="86"/>
      <c r="I38" s="86"/>
      <c r="J38" s="86"/>
      <c r="K38" s="284"/>
      <c r="L38" s="282"/>
      <c r="M38" s="86"/>
      <c r="N38" s="86"/>
      <c r="O38" s="86"/>
      <c r="P38" s="284"/>
      <c r="Q38" s="282">
        <f>Punteggio!I38</f>
        <v>0</v>
      </c>
      <c r="R38" s="86"/>
      <c r="S38" s="86"/>
      <c r="T38" s="86"/>
      <c r="U38" s="284"/>
      <c r="V38" s="282">
        <f>Punteggio!K38</f>
        <v>0</v>
      </c>
      <c r="W38" s="86"/>
      <c r="X38" s="86"/>
      <c r="Y38" s="86"/>
      <c r="Z38" s="284"/>
      <c r="AA38" s="282">
        <f>Punteggio!M38</f>
        <v>0</v>
      </c>
      <c r="AB38" s="86"/>
      <c r="AC38" s="86"/>
      <c r="AD38" s="86"/>
      <c r="AE38" s="284"/>
      <c r="AF38" s="282">
        <f>Punteggio!O38</f>
        <v>0</v>
      </c>
      <c r="AG38" s="86"/>
      <c r="AH38" s="86"/>
      <c r="AI38" s="86"/>
      <c r="AJ38" s="284"/>
      <c r="AK38" s="282">
        <f>Punteggio!Q38</f>
        <v>0</v>
      </c>
      <c r="AL38" s="86"/>
      <c r="AM38" s="86"/>
      <c r="AN38" s="86"/>
      <c r="AO38" s="284"/>
      <c r="AP38" s="282">
        <f>Punteggio!S38</f>
        <v>0</v>
      </c>
      <c r="AQ38" s="86"/>
      <c r="AR38" s="86"/>
      <c r="AS38" s="86"/>
      <c r="AT38" s="284"/>
      <c r="AU38" s="282">
        <f>Punteggio!U38</f>
        <v>0</v>
      </c>
      <c r="AV38" s="86"/>
      <c r="AW38" s="86"/>
      <c r="AX38" s="86"/>
      <c r="AY38" s="278"/>
    </row>
    <row r="39" spans="1:51" x14ac:dyDescent="0.2">
      <c r="F39" s="287"/>
    </row>
    <row r="41" spans="1:51" x14ac:dyDescent="0.2">
      <c r="A41" s="277" t="s">
        <v>268</v>
      </c>
      <c r="B41" s="277" t="s">
        <v>283</v>
      </c>
      <c r="C41" s="277" t="s">
        <v>416</v>
      </c>
      <c r="D41" s="277" t="s">
        <v>417</v>
      </c>
      <c r="E41" s="277" t="s">
        <v>418</v>
      </c>
      <c r="F41" s="277" t="s">
        <v>419</v>
      </c>
      <c r="G41" s="277" t="s">
        <v>283</v>
      </c>
      <c r="H41" s="277" t="s">
        <v>416</v>
      </c>
      <c r="I41" s="277" t="s">
        <v>417</v>
      </c>
      <c r="J41" s="277" t="s">
        <v>418</v>
      </c>
      <c r="K41" s="277" t="s">
        <v>419</v>
      </c>
      <c r="L41" s="277" t="s">
        <v>283</v>
      </c>
      <c r="M41" s="277" t="s">
        <v>416</v>
      </c>
      <c r="N41" s="277" t="s">
        <v>417</v>
      </c>
      <c r="O41" s="277" t="s">
        <v>418</v>
      </c>
      <c r="P41" s="277" t="s">
        <v>419</v>
      </c>
      <c r="Q41" s="277" t="s">
        <v>283</v>
      </c>
      <c r="R41" s="277" t="s">
        <v>416</v>
      </c>
      <c r="S41" s="277" t="s">
        <v>417</v>
      </c>
      <c r="T41" s="277" t="s">
        <v>418</v>
      </c>
      <c r="U41" s="277" t="s">
        <v>419</v>
      </c>
      <c r="V41" s="277" t="s">
        <v>283</v>
      </c>
      <c r="W41" s="277" t="s">
        <v>416</v>
      </c>
      <c r="X41" s="277" t="s">
        <v>417</v>
      </c>
      <c r="Y41" s="277" t="s">
        <v>418</v>
      </c>
      <c r="Z41" s="277" t="s">
        <v>419</v>
      </c>
      <c r="AA41" s="277" t="s">
        <v>283</v>
      </c>
      <c r="AB41" s="277" t="s">
        <v>416</v>
      </c>
      <c r="AC41" s="277" t="s">
        <v>417</v>
      </c>
      <c r="AD41" s="277" t="s">
        <v>418</v>
      </c>
      <c r="AE41" s="277" t="s">
        <v>419</v>
      </c>
      <c r="AF41" s="277" t="s">
        <v>283</v>
      </c>
      <c r="AG41" s="277" t="s">
        <v>416</v>
      </c>
      <c r="AH41" s="277" t="s">
        <v>417</v>
      </c>
      <c r="AI41" s="277" t="s">
        <v>418</v>
      </c>
      <c r="AJ41" s="277" t="s">
        <v>419</v>
      </c>
      <c r="AK41" s="277" t="s">
        <v>283</v>
      </c>
      <c r="AL41" s="277" t="s">
        <v>416</v>
      </c>
      <c r="AM41" s="277" t="s">
        <v>417</v>
      </c>
      <c r="AN41" s="277" t="s">
        <v>418</v>
      </c>
      <c r="AO41" s="277" t="s">
        <v>419</v>
      </c>
      <c r="AP41" s="277" t="s">
        <v>283</v>
      </c>
      <c r="AQ41" s="277" t="s">
        <v>416</v>
      </c>
      <c r="AR41" s="277" t="s">
        <v>417</v>
      </c>
      <c r="AS41" s="277" t="s">
        <v>418</v>
      </c>
      <c r="AT41" s="277" t="s">
        <v>419</v>
      </c>
      <c r="AU41" s="277" t="s">
        <v>283</v>
      </c>
      <c r="AV41" s="277" t="s">
        <v>416</v>
      </c>
      <c r="AW41" s="277" t="s">
        <v>417</v>
      </c>
      <c r="AX41" s="277" t="s">
        <v>418</v>
      </c>
      <c r="AY41" s="277" t="s">
        <v>419</v>
      </c>
    </row>
    <row r="42" spans="1:51" ht="15" x14ac:dyDescent="0.2">
      <c r="A42" s="276">
        <v>1</v>
      </c>
      <c r="B42" s="86">
        <f>Punteggio!B3</f>
        <v>81.5</v>
      </c>
      <c r="C42" s="86">
        <v>87</v>
      </c>
      <c r="D42" s="86">
        <f>B42</f>
        <v>81.5</v>
      </c>
      <c r="E42" s="86">
        <f>C42</f>
        <v>87</v>
      </c>
      <c r="F42" s="278">
        <f>D42-E42</f>
        <v>-5.5</v>
      </c>
      <c r="G42" s="86">
        <f>Punteggio!D3</f>
        <v>68.5</v>
      </c>
      <c r="H42" s="86">
        <v>81</v>
      </c>
      <c r="I42" s="86">
        <f>G42</f>
        <v>68.5</v>
      </c>
      <c r="J42" s="86">
        <f>H42</f>
        <v>81</v>
      </c>
      <c r="K42" s="278">
        <f>I42-J42</f>
        <v>-12.5</v>
      </c>
      <c r="L42" s="86">
        <f>Punteggio!F3</f>
        <v>69.5</v>
      </c>
      <c r="M42" s="86">
        <v>69.5</v>
      </c>
      <c r="N42" s="86">
        <f>L42</f>
        <v>69.5</v>
      </c>
      <c r="O42" s="86">
        <f>M42</f>
        <v>69.5</v>
      </c>
      <c r="P42" s="278">
        <f>N42-O42</f>
        <v>0</v>
      </c>
      <c r="Q42" s="86">
        <f>Punteggio!H3</f>
        <v>80</v>
      </c>
      <c r="R42" s="86">
        <v>86.5</v>
      </c>
      <c r="S42" s="86">
        <f>Q42</f>
        <v>80</v>
      </c>
      <c r="T42" s="86">
        <f>R42</f>
        <v>86.5</v>
      </c>
      <c r="U42" s="278">
        <f>S42-T42</f>
        <v>-6.5</v>
      </c>
      <c r="V42" s="86">
        <f>Punteggio!J3</f>
        <v>68.5</v>
      </c>
      <c r="W42" s="86">
        <v>78.5</v>
      </c>
      <c r="X42" s="86">
        <f>V42</f>
        <v>68.5</v>
      </c>
      <c r="Y42" s="86">
        <f>W42</f>
        <v>78.5</v>
      </c>
      <c r="Z42" s="278">
        <f>X42-Y42</f>
        <v>-10</v>
      </c>
      <c r="AA42" s="86">
        <f>Punteggio!L3</f>
        <v>76.5</v>
      </c>
      <c r="AB42" s="86">
        <v>73.5</v>
      </c>
      <c r="AC42" s="86">
        <f>AA42</f>
        <v>76.5</v>
      </c>
      <c r="AD42" s="86">
        <f>AB42</f>
        <v>73.5</v>
      </c>
      <c r="AE42" s="278">
        <f>AC42-AD42</f>
        <v>3</v>
      </c>
      <c r="AF42" s="86">
        <f>Punteggio!N3</f>
        <v>61</v>
      </c>
      <c r="AG42" s="86">
        <v>86.5</v>
      </c>
      <c r="AH42" s="86">
        <f>AF42</f>
        <v>61</v>
      </c>
      <c r="AI42" s="86">
        <f>AG42</f>
        <v>86.5</v>
      </c>
      <c r="AJ42" s="278">
        <f>AH42-AI42</f>
        <v>-25.5</v>
      </c>
      <c r="AK42" s="86">
        <f>Punteggio!P3</f>
        <v>62</v>
      </c>
      <c r="AL42" s="86">
        <v>70</v>
      </c>
      <c r="AM42" s="86">
        <f>AK42</f>
        <v>62</v>
      </c>
      <c r="AN42" s="86">
        <f>AL42</f>
        <v>70</v>
      </c>
      <c r="AO42" s="278">
        <f>AM42-AN42</f>
        <v>-8</v>
      </c>
      <c r="AP42" s="86">
        <f>Punteggio!R3</f>
        <v>91</v>
      </c>
      <c r="AQ42" s="86">
        <v>94</v>
      </c>
      <c r="AR42" s="86">
        <f>AP42</f>
        <v>91</v>
      </c>
      <c r="AS42" s="86">
        <f>AQ42</f>
        <v>94</v>
      </c>
      <c r="AT42" s="278">
        <f>AR42-AS42</f>
        <v>-3</v>
      </c>
      <c r="AU42" s="86">
        <f>Punteggio!T3</f>
        <v>78.5</v>
      </c>
      <c r="AV42" s="86">
        <v>64.5</v>
      </c>
      <c r="AW42" s="86">
        <f>AU42</f>
        <v>78.5</v>
      </c>
      <c r="AX42" s="86">
        <f>AV42</f>
        <v>64.5</v>
      </c>
      <c r="AY42" s="278">
        <f>AW42-AX42</f>
        <v>14</v>
      </c>
    </row>
    <row r="43" spans="1:51" ht="15" x14ac:dyDescent="0.2">
      <c r="A43" s="276">
        <v>2</v>
      </c>
      <c r="B43" s="86">
        <f>Punteggio!B4</f>
        <v>72.5</v>
      </c>
      <c r="C43" s="86">
        <v>73.5</v>
      </c>
      <c r="D43" s="86">
        <f>D42+B43</f>
        <v>154</v>
      </c>
      <c r="E43" s="86">
        <f>E42+C43</f>
        <v>160.5</v>
      </c>
      <c r="F43" s="278">
        <f t="shared" ref="F43:F76" si="31">D43-E43</f>
        <v>-6.5</v>
      </c>
      <c r="G43" s="86">
        <f>Punteggio!D4</f>
        <v>73.5</v>
      </c>
      <c r="H43" s="86">
        <v>73</v>
      </c>
      <c r="I43" s="86">
        <f>I42+G43</f>
        <v>142</v>
      </c>
      <c r="J43" s="86">
        <f>J42+H43</f>
        <v>154</v>
      </c>
      <c r="K43" s="278">
        <f t="shared" ref="K43:K76" si="32">I43-J43</f>
        <v>-12</v>
      </c>
      <c r="L43" s="86">
        <f>Punteggio!F4</f>
        <v>85.5</v>
      </c>
      <c r="M43" s="86">
        <v>61</v>
      </c>
      <c r="N43" s="86">
        <f>N42+L43</f>
        <v>155</v>
      </c>
      <c r="O43" s="86">
        <f>O42+M43</f>
        <v>130.5</v>
      </c>
      <c r="P43" s="278">
        <f t="shared" ref="P43:P76" si="33">N43-O43</f>
        <v>24.5</v>
      </c>
      <c r="Q43" s="86">
        <f>Punteggio!H4</f>
        <v>72.5</v>
      </c>
      <c r="R43" s="86">
        <v>68.5</v>
      </c>
      <c r="S43" s="86">
        <f>S42+Q43</f>
        <v>152.5</v>
      </c>
      <c r="T43" s="86">
        <f>T42+R43</f>
        <v>155</v>
      </c>
      <c r="U43" s="278">
        <f t="shared" ref="U43:U76" si="34">S43-T43</f>
        <v>-2.5</v>
      </c>
      <c r="V43" s="86">
        <f>Punteggio!J4</f>
        <v>75</v>
      </c>
      <c r="W43" s="86">
        <v>74.5</v>
      </c>
      <c r="X43" s="86">
        <f>X42+V43</f>
        <v>143.5</v>
      </c>
      <c r="Y43" s="86">
        <f>Y42+W43</f>
        <v>153</v>
      </c>
      <c r="Z43" s="278">
        <f t="shared" ref="Z43:Z76" si="35">X43-Y43</f>
        <v>-9.5</v>
      </c>
      <c r="AA43" s="86">
        <f>Punteggio!L4</f>
        <v>70</v>
      </c>
      <c r="AB43" s="86">
        <v>83</v>
      </c>
      <c r="AC43" s="86">
        <f>AC42+AA43</f>
        <v>146.5</v>
      </c>
      <c r="AD43" s="86">
        <f>AD42+AB43</f>
        <v>156.5</v>
      </c>
      <c r="AE43" s="278">
        <f t="shared" ref="AE43:AE76" si="36">AC43-AD43</f>
        <v>-10</v>
      </c>
      <c r="AF43" s="86">
        <f>Punteggio!N4</f>
        <v>75</v>
      </c>
      <c r="AG43" s="86">
        <v>66</v>
      </c>
      <c r="AH43" s="86">
        <f>AH42+AF43</f>
        <v>136</v>
      </c>
      <c r="AI43" s="86">
        <f>AI42+AG43</f>
        <v>152.5</v>
      </c>
      <c r="AJ43" s="278">
        <f t="shared" ref="AJ43:AJ76" si="37">AH43-AI43</f>
        <v>-16.5</v>
      </c>
      <c r="AK43" s="86">
        <f>Punteggio!P4</f>
        <v>68</v>
      </c>
      <c r="AL43" s="86">
        <v>79.5</v>
      </c>
      <c r="AM43" s="86">
        <f>AM42+AK43</f>
        <v>130</v>
      </c>
      <c r="AN43" s="86">
        <f>AN42+AL43</f>
        <v>149.5</v>
      </c>
      <c r="AO43" s="278">
        <f t="shared" ref="AO43:AO76" si="38">AM43-AN43</f>
        <v>-19.5</v>
      </c>
      <c r="AP43" s="86">
        <f>Punteggio!R4</f>
        <v>81</v>
      </c>
      <c r="AQ43" s="86">
        <v>81</v>
      </c>
      <c r="AR43" s="86">
        <f>AR42+AP43</f>
        <v>172</v>
      </c>
      <c r="AS43" s="86">
        <f>AS42+AQ43</f>
        <v>175</v>
      </c>
      <c r="AT43" s="278">
        <f t="shared" ref="AT43:AT76" si="39">AR43-AS43</f>
        <v>-3</v>
      </c>
      <c r="AU43" s="86">
        <f>Punteggio!T4</f>
        <v>70.5</v>
      </c>
      <c r="AV43" s="86">
        <v>66.5</v>
      </c>
      <c r="AW43" s="86">
        <f>AW42+AU43</f>
        <v>149</v>
      </c>
      <c r="AX43" s="86">
        <f>AX42+AV43</f>
        <v>131</v>
      </c>
      <c r="AY43" s="278">
        <f t="shared" ref="AY43:AY76" si="40">AW43-AX43</f>
        <v>18</v>
      </c>
    </row>
    <row r="44" spans="1:51" ht="15" x14ac:dyDescent="0.2">
      <c r="A44" s="276">
        <v>3</v>
      </c>
      <c r="B44" s="86">
        <f>Punteggio!B5</f>
        <v>67.5</v>
      </c>
      <c r="C44" s="86">
        <v>72.5</v>
      </c>
      <c r="D44" s="86">
        <f t="shared" ref="D44:D76" si="41">D43+B44</f>
        <v>221.5</v>
      </c>
      <c r="E44" s="86">
        <f t="shared" ref="E44:E76" si="42">E43+C44</f>
        <v>233</v>
      </c>
      <c r="F44" s="278">
        <f t="shared" si="31"/>
        <v>-11.5</v>
      </c>
      <c r="G44" s="86">
        <f>Punteggio!D5</f>
        <v>76</v>
      </c>
      <c r="H44" s="86">
        <v>73.5</v>
      </c>
      <c r="I44" s="86">
        <f t="shared" ref="I44:I76" si="43">I43+G44</f>
        <v>218</v>
      </c>
      <c r="J44" s="86">
        <f t="shared" ref="J44:J76" si="44">J43+H44</f>
        <v>227.5</v>
      </c>
      <c r="K44" s="278">
        <f t="shared" si="32"/>
        <v>-9.5</v>
      </c>
      <c r="L44" s="86">
        <f>Punteggio!F5</f>
        <v>83</v>
      </c>
      <c r="M44" s="86">
        <v>82</v>
      </c>
      <c r="N44" s="86">
        <f t="shared" ref="N44:N76" si="45">N43+L44</f>
        <v>238</v>
      </c>
      <c r="O44" s="86">
        <f t="shared" ref="O44:O76" si="46">O43+M44</f>
        <v>212.5</v>
      </c>
      <c r="P44" s="278">
        <f t="shared" si="33"/>
        <v>25.5</v>
      </c>
      <c r="Q44" s="86">
        <f>Punteggio!H5</f>
        <v>72.5</v>
      </c>
      <c r="R44" s="86">
        <v>79.5</v>
      </c>
      <c r="S44" s="86">
        <f t="shared" ref="S44:S76" si="47">S43+Q44</f>
        <v>225</v>
      </c>
      <c r="T44" s="86">
        <f t="shared" ref="T44:T76" si="48">T43+R44</f>
        <v>234.5</v>
      </c>
      <c r="U44" s="278">
        <f t="shared" si="34"/>
        <v>-9.5</v>
      </c>
      <c r="V44" s="86">
        <f>Punteggio!J5</f>
        <v>79</v>
      </c>
      <c r="W44" s="86">
        <v>77</v>
      </c>
      <c r="X44" s="86">
        <f t="shared" ref="X44:X76" si="49">X43+V44</f>
        <v>222.5</v>
      </c>
      <c r="Y44" s="86">
        <f t="shared" ref="Y44:Y76" si="50">Y43+W44</f>
        <v>230</v>
      </c>
      <c r="Z44" s="278">
        <f t="shared" si="35"/>
        <v>-7.5</v>
      </c>
      <c r="AA44" s="86">
        <f>Punteggio!L5</f>
        <v>73</v>
      </c>
      <c r="AB44" s="86">
        <v>79</v>
      </c>
      <c r="AC44" s="86">
        <f t="shared" ref="AC44:AC76" si="51">AC43+AA44</f>
        <v>219.5</v>
      </c>
      <c r="AD44" s="86">
        <f t="shared" ref="AD44:AD76" si="52">AD43+AB44</f>
        <v>235.5</v>
      </c>
      <c r="AE44" s="278">
        <f t="shared" si="36"/>
        <v>-16</v>
      </c>
      <c r="AF44" s="86">
        <f>Punteggio!N5</f>
        <v>69</v>
      </c>
      <c r="AG44" s="86">
        <v>74.5</v>
      </c>
      <c r="AH44" s="86">
        <f t="shared" ref="AH44:AH76" si="53">AH43+AF44</f>
        <v>205</v>
      </c>
      <c r="AI44" s="86">
        <f t="shared" ref="AI44:AI76" si="54">AI43+AG44</f>
        <v>227</v>
      </c>
      <c r="AJ44" s="278">
        <f t="shared" si="37"/>
        <v>-22</v>
      </c>
      <c r="AK44" s="86">
        <f>Punteggio!P5</f>
        <v>67</v>
      </c>
      <c r="AL44" s="86">
        <v>70</v>
      </c>
      <c r="AM44" s="86">
        <f t="shared" ref="AM44:AM76" si="55">AM43+AK44</f>
        <v>197</v>
      </c>
      <c r="AN44" s="86">
        <f t="shared" ref="AN44:AN76" si="56">AN43+AL44</f>
        <v>219.5</v>
      </c>
      <c r="AO44" s="278">
        <f t="shared" si="38"/>
        <v>-22.5</v>
      </c>
      <c r="AP44" s="86">
        <f>Punteggio!R5</f>
        <v>62</v>
      </c>
      <c r="AQ44" s="86">
        <v>78</v>
      </c>
      <c r="AR44" s="86">
        <f t="shared" ref="AR44:AR76" si="57">AR43+AP44</f>
        <v>234</v>
      </c>
      <c r="AS44" s="86">
        <f t="shared" ref="AS44:AS76" si="58">AS43+AQ44</f>
        <v>253</v>
      </c>
      <c r="AT44" s="278">
        <f t="shared" si="39"/>
        <v>-19</v>
      </c>
      <c r="AU44" s="86">
        <f>Punteggio!T5</f>
        <v>79.5</v>
      </c>
      <c r="AV44" s="86">
        <v>80.5</v>
      </c>
      <c r="AW44" s="86">
        <f t="shared" ref="AW44:AW76" si="59">AW43+AU44</f>
        <v>228.5</v>
      </c>
      <c r="AX44" s="86">
        <f t="shared" ref="AX44:AX76" si="60">AX43+AV44</f>
        <v>211.5</v>
      </c>
      <c r="AY44" s="278">
        <f t="shared" si="40"/>
        <v>17</v>
      </c>
    </row>
    <row r="45" spans="1:51" ht="15" x14ac:dyDescent="0.2">
      <c r="A45" s="276">
        <v>4</v>
      </c>
      <c r="B45" s="86">
        <f>Punteggio!B6</f>
        <v>73.5</v>
      </c>
      <c r="C45" s="86">
        <v>77</v>
      </c>
      <c r="D45" s="86">
        <f t="shared" si="41"/>
        <v>295</v>
      </c>
      <c r="E45" s="86">
        <f t="shared" si="42"/>
        <v>310</v>
      </c>
      <c r="F45" s="278">
        <f t="shared" si="31"/>
        <v>-15</v>
      </c>
      <c r="G45" s="86">
        <f>Punteggio!D6</f>
        <v>64.5</v>
      </c>
      <c r="H45" s="86">
        <v>90</v>
      </c>
      <c r="I45" s="86">
        <f t="shared" si="43"/>
        <v>282.5</v>
      </c>
      <c r="J45" s="86">
        <f t="shared" si="44"/>
        <v>317.5</v>
      </c>
      <c r="K45" s="278">
        <f t="shared" si="32"/>
        <v>-35</v>
      </c>
      <c r="L45" s="86">
        <f>Punteggio!F6</f>
        <v>73.5</v>
      </c>
      <c r="M45" s="86">
        <v>67</v>
      </c>
      <c r="N45" s="86">
        <f t="shared" si="45"/>
        <v>311.5</v>
      </c>
      <c r="O45" s="86">
        <f t="shared" si="46"/>
        <v>279.5</v>
      </c>
      <c r="P45" s="278">
        <f t="shared" si="33"/>
        <v>32</v>
      </c>
      <c r="Q45" s="86">
        <f>Punteggio!H6</f>
        <v>70.5</v>
      </c>
      <c r="R45" s="86">
        <v>83</v>
      </c>
      <c r="S45" s="86">
        <f t="shared" si="47"/>
        <v>295.5</v>
      </c>
      <c r="T45" s="86">
        <f t="shared" si="48"/>
        <v>317.5</v>
      </c>
      <c r="U45" s="278">
        <f t="shared" si="34"/>
        <v>-22</v>
      </c>
      <c r="V45" s="86">
        <f>Punteggio!J6</f>
        <v>66</v>
      </c>
      <c r="W45" s="86">
        <v>71</v>
      </c>
      <c r="X45" s="86">
        <f t="shared" si="49"/>
        <v>288.5</v>
      </c>
      <c r="Y45" s="86">
        <f t="shared" si="50"/>
        <v>301</v>
      </c>
      <c r="Z45" s="278">
        <f t="shared" si="35"/>
        <v>-12.5</v>
      </c>
      <c r="AA45" s="86">
        <f>Punteggio!L6</f>
        <v>64</v>
      </c>
      <c r="AB45" s="86">
        <v>80.5</v>
      </c>
      <c r="AC45" s="86">
        <f t="shared" si="51"/>
        <v>283.5</v>
      </c>
      <c r="AD45" s="86">
        <f t="shared" si="52"/>
        <v>316</v>
      </c>
      <c r="AE45" s="278">
        <f t="shared" si="36"/>
        <v>-32.5</v>
      </c>
      <c r="AF45" s="86">
        <f>Punteggio!N6</f>
        <v>72.5</v>
      </c>
      <c r="AG45" s="86">
        <v>60</v>
      </c>
      <c r="AH45" s="86">
        <f t="shared" si="53"/>
        <v>277.5</v>
      </c>
      <c r="AI45" s="86">
        <f t="shared" si="54"/>
        <v>287</v>
      </c>
      <c r="AJ45" s="278">
        <f t="shared" si="37"/>
        <v>-9.5</v>
      </c>
      <c r="AK45" s="86">
        <f>Punteggio!P6</f>
        <v>67</v>
      </c>
      <c r="AL45" s="86">
        <v>76</v>
      </c>
      <c r="AM45" s="86">
        <f t="shared" si="55"/>
        <v>264</v>
      </c>
      <c r="AN45" s="86">
        <f t="shared" si="56"/>
        <v>295.5</v>
      </c>
      <c r="AO45" s="278">
        <f t="shared" si="38"/>
        <v>-31.5</v>
      </c>
      <c r="AP45" s="86">
        <f>Punteggio!R6</f>
        <v>70.5</v>
      </c>
      <c r="AQ45" s="86">
        <v>72.5</v>
      </c>
      <c r="AR45" s="86">
        <f t="shared" si="57"/>
        <v>304.5</v>
      </c>
      <c r="AS45" s="86">
        <f t="shared" si="58"/>
        <v>325.5</v>
      </c>
      <c r="AT45" s="278">
        <f t="shared" si="39"/>
        <v>-21</v>
      </c>
      <c r="AU45" s="86">
        <f>Punteggio!T6</f>
        <v>77.5</v>
      </c>
      <c r="AV45" s="86">
        <v>84</v>
      </c>
      <c r="AW45" s="86">
        <f t="shared" si="59"/>
        <v>306</v>
      </c>
      <c r="AX45" s="86">
        <f t="shared" si="60"/>
        <v>295.5</v>
      </c>
      <c r="AY45" s="278">
        <f t="shared" si="40"/>
        <v>10.5</v>
      </c>
    </row>
    <row r="46" spans="1:51" ht="15" x14ac:dyDescent="0.2">
      <c r="A46" s="276">
        <v>5</v>
      </c>
      <c r="B46" s="86">
        <f>Punteggio!B7</f>
        <v>65.5</v>
      </c>
      <c r="C46" s="86">
        <v>63.5</v>
      </c>
      <c r="D46" s="86">
        <f t="shared" si="41"/>
        <v>360.5</v>
      </c>
      <c r="E46" s="86">
        <f t="shared" si="42"/>
        <v>373.5</v>
      </c>
      <c r="F46" s="278">
        <f t="shared" si="31"/>
        <v>-13</v>
      </c>
      <c r="G46" s="86">
        <f>Punteggio!D7</f>
        <v>69.5</v>
      </c>
      <c r="H46" s="86">
        <v>82.5</v>
      </c>
      <c r="I46" s="86">
        <f t="shared" si="43"/>
        <v>352</v>
      </c>
      <c r="J46" s="86">
        <f t="shared" si="44"/>
        <v>400</v>
      </c>
      <c r="K46" s="278">
        <f t="shared" si="32"/>
        <v>-48</v>
      </c>
      <c r="L46" s="86">
        <f>Punteggio!F7</f>
        <v>71</v>
      </c>
      <c r="M46" s="86">
        <v>61.5</v>
      </c>
      <c r="N46" s="86">
        <f t="shared" si="45"/>
        <v>382.5</v>
      </c>
      <c r="O46" s="86">
        <f t="shared" si="46"/>
        <v>341</v>
      </c>
      <c r="P46" s="278">
        <f t="shared" si="33"/>
        <v>41.5</v>
      </c>
      <c r="Q46" s="86">
        <f>Punteggio!H7</f>
        <v>76</v>
      </c>
      <c r="R46" s="86">
        <v>70.5</v>
      </c>
      <c r="S46" s="86">
        <f t="shared" si="47"/>
        <v>371.5</v>
      </c>
      <c r="T46" s="86">
        <f t="shared" si="48"/>
        <v>388</v>
      </c>
      <c r="U46" s="278">
        <f t="shared" si="34"/>
        <v>-16.5</v>
      </c>
      <c r="V46" s="86">
        <f>Punteggio!J7</f>
        <v>82</v>
      </c>
      <c r="W46" s="86">
        <v>65</v>
      </c>
      <c r="X46" s="86">
        <f t="shared" si="49"/>
        <v>370.5</v>
      </c>
      <c r="Y46" s="86">
        <f t="shared" si="50"/>
        <v>366</v>
      </c>
      <c r="Z46" s="278">
        <f t="shared" si="35"/>
        <v>4.5</v>
      </c>
      <c r="AA46" s="86">
        <f>Punteggio!L7</f>
        <v>78.5</v>
      </c>
      <c r="AB46" s="86">
        <v>74</v>
      </c>
      <c r="AC46" s="86">
        <f t="shared" si="51"/>
        <v>362</v>
      </c>
      <c r="AD46" s="86">
        <f t="shared" si="52"/>
        <v>390</v>
      </c>
      <c r="AE46" s="278">
        <f t="shared" si="36"/>
        <v>-28</v>
      </c>
      <c r="AF46" s="86">
        <f>Punteggio!N7</f>
        <v>85</v>
      </c>
      <c r="AG46" s="86">
        <v>79</v>
      </c>
      <c r="AH46" s="86">
        <f t="shared" si="53"/>
        <v>362.5</v>
      </c>
      <c r="AI46" s="86">
        <f t="shared" si="54"/>
        <v>366</v>
      </c>
      <c r="AJ46" s="278">
        <f t="shared" si="37"/>
        <v>-3.5</v>
      </c>
      <c r="AK46" s="86">
        <f>Punteggio!P7</f>
        <v>62.5</v>
      </c>
      <c r="AL46" s="86">
        <v>68</v>
      </c>
      <c r="AM46" s="86">
        <f t="shared" si="55"/>
        <v>326.5</v>
      </c>
      <c r="AN46" s="86">
        <f t="shared" si="56"/>
        <v>363.5</v>
      </c>
      <c r="AO46" s="278">
        <f t="shared" si="38"/>
        <v>-37</v>
      </c>
      <c r="AP46" s="86">
        <f>Punteggio!R7</f>
        <v>73.5</v>
      </c>
      <c r="AQ46" s="86">
        <v>70</v>
      </c>
      <c r="AR46" s="86">
        <f t="shared" si="57"/>
        <v>378</v>
      </c>
      <c r="AS46" s="86">
        <f t="shared" si="58"/>
        <v>395.5</v>
      </c>
      <c r="AT46" s="278">
        <f t="shared" si="39"/>
        <v>-17.5</v>
      </c>
      <c r="AU46" s="86">
        <f>Punteggio!T7</f>
        <v>65</v>
      </c>
      <c r="AV46" s="86">
        <v>90.5</v>
      </c>
      <c r="AW46" s="86">
        <f t="shared" si="59"/>
        <v>371</v>
      </c>
      <c r="AX46" s="86">
        <f t="shared" si="60"/>
        <v>386</v>
      </c>
      <c r="AY46" s="278">
        <f t="shared" si="40"/>
        <v>-15</v>
      </c>
    </row>
    <row r="47" spans="1:51" ht="15" x14ac:dyDescent="0.2">
      <c r="A47" s="276">
        <v>6</v>
      </c>
      <c r="B47" s="86">
        <f>Punteggio!B8</f>
        <v>78.5</v>
      </c>
      <c r="C47" s="86">
        <v>77.5</v>
      </c>
      <c r="D47" s="86">
        <f t="shared" si="41"/>
        <v>439</v>
      </c>
      <c r="E47" s="86">
        <f t="shared" si="42"/>
        <v>451</v>
      </c>
      <c r="F47" s="278">
        <f t="shared" si="31"/>
        <v>-12</v>
      </c>
      <c r="G47" s="86">
        <f>Punteggio!D8</f>
        <v>75</v>
      </c>
      <c r="H47" s="86">
        <v>86.5</v>
      </c>
      <c r="I47" s="86">
        <f t="shared" si="43"/>
        <v>427</v>
      </c>
      <c r="J47" s="86">
        <f t="shared" si="44"/>
        <v>486.5</v>
      </c>
      <c r="K47" s="278">
        <f t="shared" si="32"/>
        <v>-59.5</v>
      </c>
      <c r="L47" s="86">
        <f>Punteggio!F8</f>
        <v>72.5</v>
      </c>
      <c r="M47" s="86">
        <v>82</v>
      </c>
      <c r="N47" s="86">
        <f t="shared" si="45"/>
        <v>455</v>
      </c>
      <c r="O47" s="86">
        <f t="shared" si="46"/>
        <v>423</v>
      </c>
      <c r="P47" s="278">
        <f t="shared" si="33"/>
        <v>32</v>
      </c>
      <c r="Q47" s="86">
        <f>Punteggio!H8</f>
        <v>67</v>
      </c>
      <c r="R47" s="86">
        <v>77</v>
      </c>
      <c r="S47" s="86">
        <f t="shared" si="47"/>
        <v>438.5</v>
      </c>
      <c r="T47" s="86">
        <f t="shared" si="48"/>
        <v>465</v>
      </c>
      <c r="U47" s="278">
        <f t="shared" si="34"/>
        <v>-26.5</v>
      </c>
      <c r="V47" s="86">
        <f>Punteggio!J8</f>
        <v>67.5</v>
      </c>
      <c r="W47" s="86">
        <v>69</v>
      </c>
      <c r="X47" s="86">
        <f t="shared" si="49"/>
        <v>438</v>
      </c>
      <c r="Y47" s="86">
        <f t="shared" si="50"/>
        <v>435</v>
      </c>
      <c r="Z47" s="278">
        <f t="shared" si="35"/>
        <v>3</v>
      </c>
      <c r="AA47" s="86">
        <f>Punteggio!L8</f>
        <v>69.5</v>
      </c>
      <c r="AB47" s="86">
        <v>64</v>
      </c>
      <c r="AC47" s="86">
        <f t="shared" si="51"/>
        <v>431.5</v>
      </c>
      <c r="AD47" s="86">
        <f t="shared" si="52"/>
        <v>454</v>
      </c>
      <c r="AE47" s="278">
        <f t="shared" si="36"/>
        <v>-22.5</v>
      </c>
      <c r="AF47" s="86">
        <f>Punteggio!N8</f>
        <v>88.5</v>
      </c>
      <c r="AG47" s="86">
        <v>65.5</v>
      </c>
      <c r="AH47" s="86">
        <f t="shared" si="53"/>
        <v>451</v>
      </c>
      <c r="AI47" s="86">
        <f t="shared" si="54"/>
        <v>431.5</v>
      </c>
      <c r="AJ47" s="278">
        <f t="shared" si="37"/>
        <v>19.5</v>
      </c>
      <c r="AK47" s="86">
        <f>Punteggio!P8</f>
        <v>68</v>
      </c>
      <c r="AL47" s="86">
        <v>79.5</v>
      </c>
      <c r="AM47" s="86">
        <f t="shared" si="55"/>
        <v>394.5</v>
      </c>
      <c r="AN47" s="86">
        <f t="shared" si="56"/>
        <v>443</v>
      </c>
      <c r="AO47" s="278">
        <f t="shared" si="38"/>
        <v>-48.5</v>
      </c>
      <c r="AP47" s="86">
        <f>Punteggio!R8</f>
        <v>63</v>
      </c>
      <c r="AQ47" s="86">
        <v>90</v>
      </c>
      <c r="AR47" s="86">
        <f t="shared" si="57"/>
        <v>441</v>
      </c>
      <c r="AS47" s="86">
        <f t="shared" si="58"/>
        <v>485.5</v>
      </c>
      <c r="AT47" s="278">
        <f t="shared" si="39"/>
        <v>-44.5</v>
      </c>
      <c r="AU47" s="86">
        <f>Punteggio!T8</f>
        <v>71.5</v>
      </c>
      <c r="AV47" s="86">
        <v>73</v>
      </c>
      <c r="AW47" s="86">
        <f t="shared" si="59"/>
        <v>442.5</v>
      </c>
      <c r="AX47" s="86">
        <f t="shared" si="60"/>
        <v>459</v>
      </c>
      <c r="AY47" s="278">
        <f t="shared" si="40"/>
        <v>-16.5</v>
      </c>
    </row>
    <row r="48" spans="1:51" ht="15" x14ac:dyDescent="0.2">
      <c r="A48" s="276">
        <v>7</v>
      </c>
      <c r="B48" s="86">
        <f>Punteggio!B9</f>
        <v>68</v>
      </c>
      <c r="C48" s="86">
        <v>71</v>
      </c>
      <c r="D48" s="86">
        <f t="shared" si="41"/>
        <v>507</v>
      </c>
      <c r="E48" s="86">
        <f t="shared" si="42"/>
        <v>522</v>
      </c>
      <c r="F48" s="278">
        <f t="shared" si="31"/>
        <v>-15</v>
      </c>
      <c r="G48" s="86">
        <f>Punteggio!D9</f>
        <v>74.5</v>
      </c>
      <c r="H48" s="86">
        <v>81.5</v>
      </c>
      <c r="I48" s="86">
        <f t="shared" si="43"/>
        <v>501.5</v>
      </c>
      <c r="J48" s="86">
        <f t="shared" si="44"/>
        <v>568</v>
      </c>
      <c r="K48" s="278">
        <f t="shared" si="32"/>
        <v>-66.5</v>
      </c>
      <c r="L48" s="86">
        <f>Punteggio!F9</f>
        <v>83</v>
      </c>
      <c r="M48" s="86">
        <v>87</v>
      </c>
      <c r="N48" s="86">
        <f t="shared" si="45"/>
        <v>538</v>
      </c>
      <c r="O48" s="86">
        <f t="shared" si="46"/>
        <v>510</v>
      </c>
      <c r="P48" s="278">
        <f t="shared" si="33"/>
        <v>28</v>
      </c>
      <c r="Q48" s="86">
        <f>Punteggio!H9</f>
        <v>77</v>
      </c>
      <c r="R48" s="86">
        <v>80</v>
      </c>
      <c r="S48" s="86">
        <f t="shared" si="47"/>
        <v>515.5</v>
      </c>
      <c r="T48" s="86">
        <f t="shared" si="48"/>
        <v>545</v>
      </c>
      <c r="U48" s="278">
        <f t="shared" si="34"/>
        <v>-29.5</v>
      </c>
      <c r="V48" s="86">
        <f>Punteggio!J9</f>
        <v>68.5</v>
      </c>
      <c r="W48" s="86">
        <v>72.5</v>
      </c>
      <c r="X48" s="86">
        <f t="shared" si="49"/>
        <v>506.5</v>
      </c>
      <c r="Y48" s="86">
        <f t="shared" si="50"/>
        <v>507.5</v>
      </c>
      <c r="Z48" s="278">
        <f t="shared" si="35"/>
        <v>-1</v>
      </c>
      <c r="AA48" s="86">
        <f>Punteggio!L9</f>
        <v>73</v>
      </c>
      <c r="AB48" s="86">
        <v>71</v>
      </c>
      <c r="AC48" s="86">
        <f t="shared" si="51"/>
        <v>504.5</v>
      </c>
      <c r="AD48" s="86">
        <f t="shared" si="52"/>
        <v>525</v>
      </c>
      <c r="AE48" s="278">
        <f t="shared" si="36"/>
        <v>-20.5</v>
      </c>
      <c r="AF48" s="86">
        <f>Punteggio!N9</f>
        <v>63.5</v>
      </c>
      <c r="AG48" s="86">
        <v>81</v>
      </c>
      <c r="AH48" s="86">
        <f t="shared" si="53"/>
        <v>514.5</v>
      </c>
      <c r="AI48" s="86">
        <f t="shared" si="54"/>
        <v>512.5</v>
      </c>
      <c r="AJ48" s="278">
        <f t="shared" si="37"/>
        <v>2</v>
      </c>
      <c r="AK48" s="86">
        <f>Punteggio!P9</f>
        <v>67</v>
      </c>
      <c r="AL48" s="86">
        <v>91.5</v>
      </c>
      <c r="AM48" s="86">
        <f t="shared" si="55"/>
        <v>461.5</v>
      </c>
      <c r="AN48" s="86">
        <f t="shared" si="56"/>
        <v>534.5</v>
      </c>
      <c r="AO48" s="278">
        <f t="shared" si="38"/>
        <v>-73</v>
      </c>
      <c r="AP48" s="86">
        <f>Punteggio!R9</f>
        <v>79</v>
      </c>
      <c r="AQ48" s="86">
        <v>66</v>
      </c>
      <c r="AR48" s="86">
        <f t="shared" si="57"/>
        <v>520</v>
      </c>
      <c r="AS48" s="86">
        <f t="shared" si="58"/>
        <v>551.5</v>
      </c>
      <c r="AT48" s="278">
        <f t="shared" si="39"/>
        <v>-31.5</v>
      </c>
      <c r="AU48" s="86">
        <f>Punteggio!T9</f>
        <v>68</v>
      </c>
      <c r="AV48" s="86">
        <v>73.5</v>
      </c>
      <c r="AW48" s="86">
        <f t="shared" si="59"/>
        <v>510.5</v>
      </c>
      <c r="AX48" s="86">
        <f t="shared" si="60"/>
        <v>532.5</v>
      </c>
      <c r="AY48" s="278">
        <f t="shared" si="40"/>
        <v>-22</v>
      </c>
    </row>
    <row r="49" spans="1:51" ht="15" x14ac:dyDescent="0.2">
      <c r="A49" s="276">
        <v>8</v>
      </c>
      <c r="B49" s="86">
        <f>Punteggio!B10</f>
        <v>60</v>
      </c>
      <c r="C49" s="86">
        <v>72.5</v>
      </c>
      <c r="D49" s="86">
        <f t="shared" si="41"/>
        <v>567</v>
      </c>
      <c r="E49" s="86">
        <f t="shared" si="42"/>
        <v>594.5</v>
      </c>
      <c r="F49" s="278">
        <f t="shared" si="31"/>
        <v>-27.5</v>
      </c>
      <c r="G49" s="86">
        <f>Punteggio!D10</f>
        <v>71</v>
      </c>
      <c r="H49" s="86">
        <v>77</v>
      </c>
      <c r="I49" s="86">
        <f t="shared" si="43"/>
        <v>572.5</v>
      </c>
      <c r="J49" s="86">
        <f t="shared" si="44"/>
        <v>645</v>
      </c>
      <c r="K49" s="278">
        <f t="shared" si="32"/>
        <v>-72.5</v>
      </c>
      <c r="L49" s="86">
        <f>Punteggio!F10</f>
        <v>72.5</v>
      </c>
      <c r="M49" s="86">
        <v>73</v>
      </c>
      <c r="N49" s="86">
        <f t="shared" si="45"/>
        <v>610.5</v>
      </c>
      <c r="O49" s="86">
        <f t="shared" si="46"/>
        <v>583</v>
      </c>
      <c r="P49" s="278">
        <f t="shared" si="33"/>
        <v>27.5</v>
      </c>
      <c r="Q49" s="86">
        <f>Punteggio!H10</f>
        <v>76.5</v>
      </c>
      <c r="R49" s="86">
        <v>64.5</v>
      </c>
      <c r="S49" s="86">
        <f t="shared" si="47"/>
        <v>592</v>
      </c>
      <c r="T49" s="86">
        <f t="shared" si="48"/>
        <v>609.5</v>
      </c>
      <c r="U49" s="278">
        <f t="shared" si="34"/>
        <v>-17.5</v>
      </c>
      <c r="V49" s="86">
        <f>Punteggio!J10</f>
        <v>79</v>
      </c>
      <c r="W49" s="86">
        <v>80</v>
      </c>
      <c r="X49" s="86">
        <f t="shared" si="49"/>
        <v>585.5</v>
      </c>
      <c r="Y49" s="86">
        <f t="shared" si="50"/>
        <v>587.5</v>
      </c>
      <c r="Z49" s="278">
        <f t="shared" si="35"/>
        <v>-2</v>
      </c>
      <c r="AA49" s="86">
        <f>Punteggio!L10</f>
        <v>75.5</v>
      </c>
      <c r="AB49" s="86">
        <v>65.5</v>
      </c>
      <c r="AC49" s="86">
        <f t="shared" si="51"/>
        <v>580</v>
      </c>
      <c r="AD49" s="86">
        <f t="shared" si="52"/>
        <v>590.5</v>
      </c>
      <c r="AE49" s="278">
        <f t="shared" si="36"/>
        <v>-10.5</v>
      </c>
      <c r="AF49" s="86">
        <f>Punteggio!N10</f>
        <v>63</v>
      </c>
      <c r="AG49" s="86">
        <v>72</v>
      </c>
      <c r="AH49" s="86">
        <f t="shared" si="53"/>
        <v>577.5</v>
      </c>
      <c r="AI49" s="86">
        <f t="shared" si="54"/>
        <v>584.5</v>
      </c>
      <c r="AJ49" s="278">
        <f t="shared" si="37"/>
        <v>-7</v>
      </c>
      <c r="AK49" s="86">
        <f>Punteggio!P10</f>
        <v>67.5</v>
      </c>
      <c r="AL49" s="86">
        <v>65</v>
      </c>
      <c r="AM49" s="86">
        <f t="shared" si="55"/>
        <v>529</v>
      </c>
      <c r="AN49" s="86">
        <f t="shared" si="56"/>
        <v>599.5</v>
      </c>
      <c r="AO49" s="278">
        <f t="shared" si="38"/>
        <v>-70.5</v>
      </c>
      <c r="AP49" s="86">
        <f>Punteggio!R10</f>
        <v>66</v>
      </c>
      <c r="AQ49" s="86">
        <v>84</v>
      </c>
      <c r="AR49" s="86">
        <f t="shared" si="57"/>
        <v>586</v>
      </c>
      <c r="AS49" s="86">
        <f t="shared" si="58"/>
        <v>635.5</v>
      </c>
      <c r="AT49" s="278">
        <f t="shared" si="39"/>
        <v>-49.5</v>
      </c>
      <c r="AU49" s="86">
        <f>Punteggio!T10</f>
        <v>75.5</v>
      </c>
      <c r="AV49" s="86">
        <v>75.5</v>
      </c>
      <c r="AW49" s="86">
        <f t="shared" si="59"/>
        <v>586</v>
      </c>
      <c r="AX49" s="86">
        <f t="shared" si="60"/>
        <v>608</v>
      </c>
      <c r="AY49" s="278">
        <f t="shared" si="40"/>
        <v>-22</v>
      </c>
    </row>
    <row r="50" spans="1:51" ht="15" x14ac:dyDescent="0.2">
      <c r="A50" s="276">
        <v>9</v>
      </c>
      <c r="B50" s="86">
        <f>Punteggio!B11</f>
        <v>71.5</v>
      </c>
      <c r="C50" s="86">
        <v>82</v>
      </c>
      <c r="D50" s="86">
        <f t="shared" si="41"/>
        <v>638.5</v>
      </c>
      <c r="E50" s="86">
        <f t="shared" si="42"/>
        <v>676.5</v>
      </c>
      <c r="F50" s="278">
        <f t="shared" si="31"/>
        <v>-38</v>
      </c>
      <c r="G50" s="86">
        <f>Punteggio!D11</f>
        <v>82</v>
      </c>
      <c r="H50" s="86">
        <v>74.5</v>
      </c>
      <c r="I50" s="86">
        <f t="shared" si="43"/>
        <v>654.5</v>
      </c>
      <c r="J50" s="86">
        <f t="shared" si="44"/>
        <v>719.5</v>
      </c>
      <c r="K50" s="278">
        <f t="shared" si="32"/>
        <v>-65</v>
      </c>
      <c r="L50" s="86">
        <f>Punteggio!F11</f>
        <v>66</v>
      </c>
      <c r="M50" s="86">
        <v>74</v>
      </c>
      <c r="N50" s="86">
        <f t="shared" si="45"/>
        <v>676.5</v>
      </c>
      <c r="O50" s="86">
        <f t="shared" si="46"/>
        <v>657</v>
      </c>
      <c r="P50" s="278">
        <f t="shared" si="33"/>
        <v>19.5</v>
      </c>
      <c r="Q50" s="86">
        <f>Punteggio!H11</f>
        <v>67</v>
      </c>
      <c r="R50" s="86">
        <v>68.5</v>
      </c>
      <c r="S50" s="86">
        <f t="shared" si="47"/>
        <v>659</v>
      </c>
      <c r="T50" s="86">
        <f t="shared" si="48"/>
        <v>678</v>
      </c>
      <c r="U50" s="278">
        <f t="shared" si="34"/>
        <v>-19</v>
      </c>
      <c r="V50" s="86">
        <f>Punteggio!J11</f>
        <v>76</v>
      </c>
      <c r="W50" s="86">
        <v>89</v>
      </c>
      <c r="X50" s="86">
        <f t="shared" si="49"/>
        <v>661.5</v>
      </c>
      <c r="Y50" s="86">
        <f t="shared" si="50"/>
        <v>676.5</v>
      </c>
      <c r="Z50" s="278">
        <f t="shared" si="35"/>
        <v>-15</v>
      </c>
      <c r="AA50" s="86">
        <f>Punteggio!L11</f>
        <v>71.5</v>
      </c>
      <c r="AB50" s="86">
        <v>82</v>
      </c>
      <c r="AC50" s="86">
        <f t="shared" si="51"/>
        <v>651.5</v>
      </c>
      <c r="AD50" s="86">
        <f t="shared" si="52"/>
        <v>672.5</v>
      </c>
      <c r="AE50" s="278">
        <f t="shared" si="36"/>
        <v>-21</v>
      </c>
      <c r="AF50" s="86">
        <f>Punteggio!N11</f>
        <v>62.5</v>
      </c>
      <c r="AG50" s="86">
        <v>71.5</v>
      </c>
      <c r="AH50" s="86">
        <f t="shared" si="53"/>
        <v>640</v>
      </c>
      <c r="AI50" s="86">
        <f t="shared" si="54"/>
        <v>656</v>
      </c>
      <c r="AJ50" s="278">
        <f t="shared" si="37"/>
        <v>-16</v>
      </c>
      <c r="AK50" s="86">
        <f>Punteggio!P11</f>
        <v>75</v>
      </c>
      <c r="AL50" s="86">
        <v>75.5</v>
      </c>
      <c r="AM50" s="86">
        <f t="shared" si="55"/>
        <v>604</v>
      </c>
      <c r="AN50" s="86">
        <f t="shared" si="56"/>
        <v>675</v>
      </c>
      <c r="AO50" s="278">
        <f t="shared" si="38"/>
        <v>-71</v>
      </c>
      <c r="AP50" s="86">
        <f>Punteggio!R11</f>
        <v>84.5</v>
      </c>
      <c r="AQ50" s="86">
        <v>78.5</v>
      </c>
      <c r="AR50" s="86">
        <f t="shared" si="57"/>
        <v>670.5</v>
      </c>
      <c r="AS50" s="86">
        <f t="shared" si="58"/>
        <v>714</v>
      </c>
      <c r="AT50" s="278">
        <f t="shared" si="39"/>
        <v>-43.5</v>
      </c>
      <c r="AU50" s="86">
        <f>Punteggio!T11</f>
        <v>85.5</v>
      </c>
      <c r="AV50" s="86">
        <v>60</v>
      </c>
      <c r="AW50" s="86">
        <f t="shared" si="59"/>
        <v>671.5</v>
      </c>
      <c r="AX50" s="86">
        <f t="shared" si="60"/>
        <v>668</v>
      </c>
      <c r="AY50" s="278">
        <f t="shared" si="40"/>
        <v>3.5</v>
      </c>
    </row>
    <row r="51" spans="1:51" ht="15" x14ac:dyDescent="0.2">
      <c r="A51" s="276">
        <v>10</v>
      </c>
      <c r="B51" s="86">
        <f>Punteggio!B12</f>
        <v>81</v>
      </c>
      <c r="C51" s="86">
        <v>75.5</v>
      </c>
      <c r="D51" s="86">
        <f t="shared" si="41"/>
        <v>719.5</v>
      </c>
      <c r="E51" s="86">
        <f t="shared" si="42"/>
        <v>752</v>
      </c>
      <c r="F51" s="278">
        <f t="shared" si="31"/>
        <v>-32.5</v>
      </c>
      <c r="G51" s="86">
        <f>Punteggio!D12</f>
        <v>82</v>
      </c>
      <c r="H51" s="86">
        <v>71</v>
      </c>
      <c r="I51" s="86">
        <f t="shared" si="43"/>
        <v>736.5</v>
      </c>
      <c r="J51" s="86">
        <f t="shared" si="44"/>
        <v>790.5</v>
      </c>
      <c r="K51" s="278">
        <f t="shared" si="32"/>
        <v>-54</v>
      </c>
      <c r="L51" s="86">
        <f>Punteggio!F12</f>
        <v>87</v>
      </c>
      <c r="M51" s="86">
        <v>72</v>
      </c>
      <c r="N51" s="86">
        <f t="shared" si="45"/>
        <v>763.5</v>
      </c>
      <c r="O51" s="86">
        <f t="shared" si="46"/>
        <v>729</v>
      </c>
      <c r="P51" s="278">
        <f t="shared" si="33"/>
        <v>34.5</v>
      </c>
      <c r="Q51" s="86">
        <f>Punteggio!H12</f>
        <v>65</v>
      </c>
      <c r="R51" s="86">
        <v>74.5</v>
      </c>
      <c r="S51" s="86">
        <f t="shared" si="47"/>
        <v>724</v>
      </c>
      <c r="T51" s="86">
        <f t="shared" si="48"/>
        <v>752.5</v>
      </c>
      <c r="U51" s="278">
        <f t="shared" si="34"/>
        <v>-28.5</v>
      </c>
      <c r="V51" s="86">
        <f>Punteggio!J12</f>
        <v>65.5</v>
      </c>
      <c r="W51" s="86">
        <v>74</v>
      </c>
      <c r="X51" s="86">
        <f t="shared" si="49"/>
        <v>727</v>
      </c>
      <c r="Y51" s="86">
        <f t="shared" si="50"/>
        <v>750.5</v>
      </c>
      <c r="Z51" s="278">
        <f t="shared" si="35"/>
        <v>-23.5</v>
      </c>
      <c r="AA51" s="86">
        <f>Punteggio!L12</f>
        <v>65</v>
      </c>
      <c r="AB51" s="86">
        <v>77.5</v>
      </c>
      <c r="AC51" s="86">
        <f t="shared" si="51"/>
        <v>716.5</v>
      </c>
      <c r="AD51" s="86">
        <f t="shared" si="52"/>
        <v>750</v>
      </c>
      <c r="AE51" s="278">
        <f t="shared" si="36"/>
        <v>-33.5</v>
      </c>
      <c r="AF51" s="86">
        <f>Punteggio!N12</f>
        <v>74.5</v>
      </c>
      <c r="AG51" s="86">
        <v>70.5</v>
      </c>
      <c r="AH51" s="86">
        <f t="shared" si="53"/>
        <v>714.5</v>
      </c>
      <c r="AI51" s="86">
        <f t="shared" si="54"/>
        <v>726.5</v>
      </c>
      <c r="AJ51" s="278">
        <f t="shared" si="37"/>
        <v>-12</v>
      </c>
      <c r="AK51" s="86">
        <f>Punteggio!P12</f>
        <v>74</v>
      </c>
      <c r="AL51" s="86">
        <v>74</v>
      </c>
      <c r="AM51" s="86">
        <f t="shared" si="55"/>
        <v>678</v>
      </c>
      <c r="AN51" s="86">
        <f t="shared" si="56"/>
        <v>749</v>
      </c>
      <c r="AO51" s="278">
        <f t="shared" si="38"/>
        <v>-71</v>
      </c>
      <c r="AP51" s="86">
        <f>Punteggio!R12</f>
        <v>75.5</v>
      </c>
      <c r="AQ51" s="86">
        <v>78</v>
      </c>
      <c r="AR51" s="86">
        <f t="shared" si="57"/>
        <v>746</v>
      </c>
      <c r="AS51" s="86">
        <f t="shared" si="58"/>
        <v>792</v>
      </c>
      <c r="AT51" s="278">
        <f t="shared" si="39"/>
        <v>-46</v>
      </c>
      <c r="AU51" s="86">
        <f>Punteggio!T12</f>
        <v>75</v>
      </c>
      <c r="AV51" s="86">
        <v>81.5</v>
      </c>
      <c r="AW51" s="86">
        <f t="shared" si="59"/>
        <v>746.5</v>
      </c>
      <c r="AX51" s="86">
        <f t="shared" si="60"/>
        <v>749.5</v>
      </c>
      <c r="AY51" s="278">
        <f t="shared" si="40"/>
        <v>-3</v>
      </c>
    </row>
    <row r="52" spans="1:51" ht="15" x14ac:dyDescent="0.2">
      <c r="A52" s="276">
        <v>11</v>
      </c>
      <c r="B52" s="86">
        <f>Punteggio!B13</f>
        <v>59</v>
      </c>
      <c r="C52" s="86">
        <v>78.5</v>
      </c>
      <c r="D52" s="86">
        <f t="shared" si="41"/>
        <v>778.5</v>
      </c>
      <c r="E52" s="86">
        <f t="shared" si="42"/>
        <v>830.5</v>
      </c>
      <c r="F52" s="278">
        <f t="shared" si="31"/>
        <v>-52</v>
      </c>
      <c r="G52" s="86">
        <f>Punteggio!D13</f>
        <v>78.5</v>
      </c>
      <c r="H52" s="86">
        <v>73</v>
      </c>
      <c r="I52" s="86">
        <f t="shared" si="43"/>
        <v>815</v>
      </c>
      <c r="J52" s="86">
        <f t="shared" si="44"/>
        <v>863.5</v>
      </c>
      <c r="K52" s="278">
        <f t="shared" si="32"/>
        <v>-48.5</v>
      </c>
      <c r="L52" s="86">
        <f>Punteggio!F13</f>
        <v>69</v>
      </c>
      <c r="M52" s="86">
        <v>72</v>
      </c>
      <c r="N52" s="86">
        <f t="shared" si="45"/>
        <v>832.5</v>
      </c>
      <c r="O52" s="86">
        <f t="shared" si="46"/>
        <v>801</v>
      </c>
      <c r="P52" s="278">
        <f t="shared" si="33"/>
        <v>31.5</v>
      </c>
      <c r="Q52" s="86">
        <f>Punteggio!H13</f>
        <v>75</v>
      </c>
      <c r="R52" s="86">
        <v>67</v>
      </c>
      <c r="S52" s="86">
        <f t="shared" si="47"/>
        <v>799</v>
      </c>
      <c r="T52" s="86">
        <f t="shared" si="48"/>
        <v>819.5</v>
      </c>
      <c r="U52" s="278">
        <f t="shared" si="34"/>
        <v>-20.5</v>
      </c>
      <c r="V52" s="86">
        <f>Punteggio!J13</f>
        <v>74.5</v>
      </c>
      <c r="W52" s="86">
        <v>77</v>
      </c>
      <c r="X52" s="86">
        <f t="shared" si="49"/>
        <v>801.5</v>
      </c>
      <c r="Y52" s="86">
        <f t="shared" si="50"/>
        <v>827.5</v>
      </c>
      <c r="Z52" s="278">
        <f t="shared" si="35"/>
        <v>-26</v>
      </c>
      <c r="AA52" s="86">
        <f>Punteggio!L13</f>
        <v>70</v>
      </c>
      <c r="AB52" s="86">
        <v>70.5</v>
      </c>
      <c r="AC52" s="86">
        <f t="shared" si="51"/>
        <v>786.5</v>
      </c>
      <c r="AD52" s="86">
        <f t="shared" si="52"/>
        <v>820.5</v>
      </c>
      <c r="AE52" s="278">
        <f t="shared" si="36"/>
        <v>-34</v>
      </c>
      <c r="AF52" s="86">
        <f>Punteggio!N13</f>
        <v>74</v>
      </c>
      <c r="AG52" s="86">
        <v>75</v>
      </c>
      <c r="AH52" s="86">
        <f t="shared" si="53"/>
        <v>788.5</v>
      </c>
      <c r="AI52" s="86">
        <f t="shared" si="54"/>
        <v>801.5</v>
      </c>
      <c r="AJ52" s="278">
        <f t="shared" si="37"/>
        <v>-13</v>
      </c>
      <c r="AK52" s="86">
        <f>Punteggio!P13</f>
        <v>72</v>
      </c>
      <c r="AL52" s="86">
        <v>76</v>
      </c>
      <c r="AM52" s="86">
        <f t="shared" si="55"/>
        <v>750</v>
      </c>
      <c r="AN52" s="86">
        <f t="shared" si="56"/>
        <v>825</v>
      </c>
      <c r="AO52" s="278">
        <f t="shared" si="38"/>
        <v>-75</v>
      </c>
      <c r="AP52" s="86">
        <f>Punteggio!R13</f>
        <v>80.5</v>
      </c>
      <c r="AQ52" s="86">
        <v>70</v>
      </c>
      <c r="AR52" s="86">
        <f t="shared" si="57"/>
        <v>826.5</v>
      </c>
      <c r="AS52" s="86">
        <f t="shared" si="58"/>
        <v>862</v>
      </c>
      <c r="AT52" s="278">
        <f t="shared" si="39"/>
        <v>-35.5</v>
      </c>
      <c r="AU52" s="86">
        <f>Punteggio!T13</f>
        <v>67.5</v>
      </c>
      <c r="AV52" s="86">
        <v>75</v>
      </c>
      <c r="AW52" s="86">
        <f t="shared" si="59"/>
        <v>814</v>
      </c>
      <c r="AX52" s="86">
        <f t="shared" si="60"/>
        <v>824.5</v>
      </c>
      <c r="AY52" s="278">
        <f t="shared" si="40"/>
        <v>-10.5</v>
      </c>
    </row>
    <row r="53" spans="1:51" ht="15" x14ac:dyDescent="0.2">
      <c r="A53" s="276">
        <v>12</v>
      </c>
      <c r="B53" s="86">
        <f>Punteggio!B14</f>
        <v>67.5</v>
      </c>
      <c r="C53" s="86">
        <v>76</v>
      </c>
      <c r="D53" s="86">
        <f t="shared" si="41"/>
        <v>846</v>
      </c>
      <c r="E53" s="86">
        <f t="shared" si="42"/>
        <v>906.5</v>
      </c>
      <c r="F53" s="278">
        <f t="shared" si="31"/>
        <v>-60.5</v>
      </c>
      <c r="G53" s="86">
        <f>Punteggio!D14</f>
        <v>72</v>
      </c>
      <c r="H53" s="86">
        <v>73.5</v>
      </c>
      <c r="I53" s="86">
        <f t="shared" si="43"/>
        <v>887</v>
      </c>
      <c r="J53" s="86">
        <f t="shared" si="44"/>
        <v>937</v>
      </c>
      <c r="K53" s="278">
        <f t="shared" si="32"/>
        <v>-50</v>
      </c>
      <c r="L53" s="86">
        <f>Punteggio!F14</f>
        <v>74</v>
      </c>
      <c r="M53" s="86">
        <v>67</v>
      </c>
      <c r="N53" s="86">
        <f t="shared" si="45"/>
        <v>906.5</v>
      </c>
      <c r="O53" s="86">
        <f t="shared" si="46"/>
        <v>868</v>
      </c>
      <c r="P53" s="278">
        <f t="shared" si="33"/>
        <v>38.5</v>
      </c>
      <c r="Q53" s="86">
        <f>Punteggio!H14</f>
        <v>60</v>
      </c>
      <c r="R53" s="86">
        <v>76.5</v>
      </c>
      <c r="S53" s="86">
        <f t="shared" si="47"/>
        <v>859</v>
      </c>
      <c r="T53" s="86">
        <f t="shared" si="48"/>
        <v>896</v>
      </c>
      <c r="U53" s="278">
        <f t="shared" si="34"/>
        <v>-37</v>
      </c>
      <c r="V53" s="86">
        <f>Punteggio!J14</f>
        <v>78.5</v>
      </c>
      <c r="W53" s="86">
        <v>89</v>
      </c>
      <c r="X53" s="86">
        <f t="shared" si="49"/>
        <v>880</v>
      </c>
      <c r="Y53" s="86">
        <f t="shared" si="50"/>
        <v>916.5</v>
      </c>
      <c r="Z53" s="278">
        <f t="shared" si="35"/>
        <v>-36.5</v>
      </c>
      <c r="AA53" s="86">
        <f>Punteggio!L14</f>
        <v>68</v>
      </c>
      <c r="AB53" s="86">
        <v>76</v>
      </c>
      <c r="AC53" s="86">
        <f t="shared" si="51"/>
        <v>854.5</v>
      </c>
      <c r="AD53" s="86">
        <f t="shared" si="52"/>
        <v>896.5</v>
      </c>
      <c r="AE53" s="278">
        <f t="shared" si="36"/>
        <v>-42</v>
      </c>
      <c r="AF53" s="86">
        <f>Punteggio!N14</f>
        <v>72</v>
      </c>
      <c r="AG53" s="86">
        <v>76</v>
      </c>
      <c r="AH53" s="86">
        <f t="shared" si="53"/>
        <v>860.5</v>
      </c>
      <c r="AI53" s="86">
        <f t="shared" si="54"/>
        <v>877.5</v>
      </c>
      <c r="AJ53" s="278">
        <f t="shared" si="37"/>
        <v>-17</v>
      </c>
      <c r="AK53" s="86">
        <f>Punteggio!P14</f>
        <v>77</v>
      </c>
      <c r="AL53" s="86">
        <v>78.5</v>
      </c>
      <c r="AM53" s="86">
        <f t="shared" si="55"/>
        <v>827</v>
      </c>
      <c r="AN53" s="86">
        <f t="shared" si="56"/>
        <v>903.5</v>
      </c>
      <c r="AO53" s="278">
        <f t="shared" si="38"/>
        <v>-76.5</v>
      </c>
      <c r="AP53" s="86">
        <f>Punteggio!R14</f>
        <v>68</v>
      </c>
      <c r="AQ53" s="86">
        <v>78</v>
      </c>
      <c r="AR53" s="86">
        <f t="shared" si="57"/>
        <v>894.5</v>
      </c>
      <c r="AS53" s="86">
        <f t="shared" si="58"/>
        <v>940</v>
      </c>
      <c r="AT53" s="278">
        <f t="shared" si="39"/>
        <v>-45.5</v>
      </c>
      <c r="AU53" s="86">
        <f>Punteggio!T14</f>
        <v>65</v>
      </c>
      <c r="AV53" s="86">
        <v>74</v>
      </c>
      <c r="AW53" s="86">
        <f t="shared" si="59"/>
        <v>879</v>
      </c>
      <c r="AX53" s="86">
        <f t="shared" si="60"/>
        <v>898.5</v>
      </c>
      <c r="AY53" s="278">
        <f t="shared" si="40"/>
        <v>-19.5</v>
      </c>
    </row>
    <row r="54" spans="1:51" ht="15" x14ac:dyDescent="0.2">
      <c r="A54" s="276">
        <v>13</v>
      </c>
      <c r="B54" s="86">
        <f>Punteggio!B15</f>
        <v>81</v>
      </c>
      <c r="C54" s="86">
        <v>70</v>
      </c>
      <c r="D54" s="86">
        <f t="shared" si="41"/>
        <v>927</v>
      </c>
      <c r="E54" s="86">
        <f t="shared" si="42"/>
        <v>976.5</v>
      </c>
      <c r="F54" s="278">
        <f t="shared" si="31"/>
        <v>-49.5</v>
      </c>
      <c r="G54" s="86">
        <f>Punteggio!D15</f>
        <v>65</v>
      </c>
      <c r="H54" s="86">
        <v>72.5</v>
      </c>
      <c r="I54" s="86">
        <f t="shared" si="43"/>
        <v>952</v>
      </c>
      <c r="J54" s="86">
        <f t="shared" si="44"/>
        <v>1009.5</v>
      </c>
      <c r="K54" s="278">
        <f t="shared" si="32"/>
        <v>-57.5</v>
      </c>
      <c r="L54" s="86">
        <f>Punteggio!F15</f>
        <v>67</v>
      </c>
      <c r="M54" s="86">
        <v>74</v>
      </c>
      <c r="N54" s="86">
        <f t="shared" si="45"/>
        <v>973.5</v>
      </c>
      <c r="O54" s="86">
        <f t="shared" si="46"/>
        <v>942</v>
      </c>
      <c r="P54" s="278">
        <f t="shared" si="33"/>
        <v>31.5</v>
      </c>
      <c r="Q54" s="86">
        <f>Punteggio!H15</f>
        <v>75</v>
      </c>
      <c r="R54" s="86">
        <v>75</v>
      </c>
      <c r="S54" s="86">
        <f t="shared" si="47"/>
        <v>934</v>
      </c>
      <c r="T54" s="86">
        <f t="shared" si="48"/>
        <v>971</v>
      </c>
      <c r="U54" s="278">
        <f t="shared" si="34"/>
        <v>-37</v>
      </c>
      <c r="V54" s="86">
        <f>Punteggio!J15</f>
        <v>67.5</v>
      </c>
      <c r="W54" s="86">
        <v>71.5</v>
      </c>
      <c r="X54" s="86">
        <f t="shared" si="49"/>
        <v>947.5</v>
      </c>
      <c r="Y54" s="86">
        <f t="shared" si="50"/>
        <v>988</v>
      </c>
      <c r="Z54" s="278">
        <f t="shared" si="35"/>
        <v>-40.5</v>
      </c>
      <c r="AA54" s="86">
        <f>Punteggio!L15</f>
        <v>82.5</v>
      </c>
      <c r="AB54" s="86">
        <v>64</v>
      </c>
      <c r="AC54" s="86">
        <f t="shared" si="51"/>
        <v>937</v>
      </c>
      <c r="AD54" s="86">
        <f t="shared" si="52"/>
        <v>960.5</v>
      </c>
      <c r="AE54" s="278">
        <f t="shared" si="36"/>
        <v>-23.5</v>
      </c>
      <c r="AF54" s="86">
        <f>Punteggio!N15</f>
        <v>69</v>
      </c>
      <c r="AG54" s="86">
        <v>91</v>
      </c>
      <c r="AH54" s="86">
        <f t="shared" si="53"/>
        <v>929.5</v>
      </c>
      <c r="AI54" s="86">
        <f t="shared" si="54"/>
        <v>968.5</v>
      </c>
      <c r="AJ54" s="278">
        <f t="shared" si="37"/>
        <v>-39</v>
      </c>
      <c r="AK54" s="86">
        <f>Punteggio!P15</f>
        <v>65</v>
      </c>
      <c r="AL54" s="86">
        <v>79</v>
      </c>
      <c r="AM54" s="86">
        <f t="shared" si="55"/>
        <v>892</v>
      </c>
      <c r="AN54" s="86">
        <f t="shared" si="56"/>
        <v>982.5</v>
      </c>
      <c r="AO54" s="278">
        <f t="shared" si="38"/>
        <v>-90.5</v>
      </c>
      <c r="AP54" s="86">
        <f>Punteggio!R15</f>
        <v>69</v>
      </c>
      <c r="AQ54" s="86">
        <v>81.5</v>
      </c>
      <c r="AR54" s="86">
        <f t="shared" si="57"/>
        <v>963.5</v>
      </c>
      <c r="AS54" s="86">
        <f t="shared" si="58"/>
        <v>1021.5</v>
      </c>
      <c r="AT54" s="278">
        <f t="shared" si="39"/>
        <v>-58</v>
      </c>
      <c r="AU54" s="86">
        <f>Punteggio!T15</f>
        <v>72.5</v>
      </c>
      <c r="AV54" s="86">
        <v>76</v>
      </c>
      <c r="AW54" s="86">
        <f t="shared" si="59"/>
        <v>951.5</v>
      </c>
      <c r="AX54" s="86">
        <f t="shared" si="60"/>
        <v>974.5</v>
      </c>
      <c r="AY54" s="278">
        <f t="shared" si="40"/>
        <v>-23</v>
      </c>
    </row>
    <row r="55" spans="1:51" ht="15" x14ac:dyDescent="0.2">
      <c r="A55" s="276">
        <v>14</v>
      </c>
      <c r="B55" s="86">
        <f>Punteggio!B16</f>
        <v>74</v>
      </c>
      <c r="C55" s="86">
        <v>70</v>
      </c>
      <c r="D55" s="86">
        <f t="shared" si="41"/>
        <v>1001</v>
      </c>
      <c r="E55" s="86">
        <f t="shared" si="42"/>
        <v>1046.5</v>
      </c>
      <c r="F55" s="278">
        <f t="shared" si="31"/>
        <v>-45.5</v>
      </c>
      <c r="G55" s="86">
        <f>Punteggio!D16</f>
        <v>78.5</v>
      </c>
      <c r="H55" s="86">
        <v>76.5</v>
      </c>
      <c r="I55" s="86">
        <f t="shared" si="43"/>
        <v>1030.5</v>
      </c>
      <c r="J55" s="86">
        <f t="shared" si="44"/>
        <v>1086</v>
      </c>
      <c r="K55" s="278">
        <f t="shared" si="32"/>
        <v>-55.5</v>
      </c>
      <c r="L55" s="86">
        <f>Punteggio!F16</f>
        <v>79</v>
      </c>
      <c r="M55" s="86">
        <v>65</v>
      </c>
      <c r="N55" s="86">
        <f t="shared" si="45"/>
        <v>1052.5</v>
      </c>
      <c r="O55" s="86">
        <f t="shared" si="46"/>
        <v>1007</v>
      </c>
      <c r="P55" s="278">
        <f t="shared" si="33"/>
        <v>45.5</v>
      </c>
      <c r="Q55" s="86">
        <f>Punteggio!H16</f>
        <v>66</v>
      </c>
      <c r="R55" s="86">
        <v>80</v>
      </c>
      <c r="S55" s="86">
        <f t="shared" si="47"/>
        <v>1000</v>
      </c>
      <c r="T55" s="86">
        <f t="shared" si="48"/>
        <v>1051</v>
      </c>
      <c r="U55" s="278">
        <f t="shared" si="34"/>
        <v>-51</v>
      </c>
      <c r="V55" s="86">
        <f>Punteggio!J16</f>
        <v>80</v>
      </c>
      <c r="W55" s="86">
        <v>75</v>
      </c>
      <c r="X55" s="86">
        <f t="shared" si="49"/>
        <v>1027.5</v>
      </c>
      <c r="Y55" s="86">
        <f t="shared" si="50"/>
        <v>1063</v>
      </c>
      <c r="Z55" s="278">
        <f t="shared" si="35"/>
        <v>-35.5</v>
      </c>
      <c r="AA55" s="86">
        <f>Punteggio!L16</f>
        <v>72</v>
      </c>
      <c r="AB55" s="86">
        <v>67.5</v>
      </c>
      <c r="AC55" s="86">
        <f t="shared" si="51"/>
        <v>1009</v>
      </c>
      <c r="AD55" s="86">
        <f t="shared" si="52"/>
        <v>1028</v>
      </c>
      <c r="AE55" s="278">
        <f t="shared" si="36"/>
        <v>-19</v>
      </c>
      <c r="AF55" s="86">
        <f>Punteggio!N16</f>
        <v>86</v>
      </c>
      <c r="AG55" s="86">
        <v>82</v>
      </c>
      <c r="AH55" s="86">
        <f t="shared" si="53"/>
        <v>1015.5</v>
      </c>
      <c r="AI55" s="86">
        <f t="shared" si="54"/>
        <v>1050.5</v>
      </c>
      <c r="AJ55" s="278">
        <f t="shared" si="37"/>
        <v>-35</v>
      </c>
      <c r="AK55" s="86">
        <f>Punteggio!P16</f>
        <v>65.5</v>
      </c>
      <c r="AL55" s="86">
        <v>77</v>
      </c>
      <c r="AM55" s="86">
        <f t="shared" si="55"/>
        <v>957.5</v>
      </c>
      <c r="AN55" s="86">
        <f t="shared" si="56"/>
        <v>1059.5</v>
      </c>
      <c r="AO55" s="278">
        <f t="shared" si="38"/>
        <v>-102</v>
      </c>
      <c r="AP55" s="86">
        <f>Punteggio!R16</f>
        <v>75</v>
      </c>
      <c r="AQ55" s="86">
        <v>80</v>
      </c>
      <c r="AR55" s="86">
        <f t="shared" si="57"/>
        <v>1038.5</v>
      </c>
      <c r="AS55" s="86">
        <f t="shared" si="58"/>
        <v>1101.5</v>
      </c>
      <c r="AT55" s="278">
        <f t="shared" si="39"/>
        <v>-63</v>
      </c>
      <c r="AU55" s="86">
        <f>Punteggio!T16</f>
        <v>84</v>
      </c>
      <c r="AV55" s="86">
        <v>71</v>
      </c>
      <c r="AW55" s="86">
        <f t="shared" si="59"/>
        <v>1035.5</v>
      </c>
      <c r="AX55" s="86">
        <f t="shared" si="60"/>
        <v>1045.5</v>
      </c>
      <c r="AY55" s="278">
        <f t="shared" si="40"/>
        <v>-10</v>
      </c>
    </row>
    <row r="56" spans="1:51" ht="15" x14ac:dyDescent="0.2">
      <c r="A56" s="276">
        <v>15</v>
      </c>
      <c r="B56" s="86">
        <f>Punteggio!B17</f>
        <v>73.5</v>
      </c>
      <c r="C56" s="86">
        <v>77.5</v>
      </c>
      <c r="D56" s="86">
        <f t="shared" si="41"/>
        <v>1074.5</v>
      </c>
      <c r="E56" s="86">
        <f t="shared" si="42"/>
        <v>1124</v>
      </c>
      <c r="F56" s="278">
        <f t="shared" si="31"/>
        <v>-49.5</v>
      </c>
      <c r="G56" s="86">
        <f>Punteggio!D17</f>
        <v>81</v>
      </c>
      <c r="H56" s="86">
        <v>73</v>
      </c>
      <c r="I56" s="86">
        <f t="shared" si="43"/>
        <v>1111.5</v>
      </c>
      <c r="J56" s="86">
        <f t="shared" si="44"/>
        <v>1159</v>
      </c>
      <c r="K56" s="278">
        <f t="shared" si="32"/>
        <v>-47.5</v>
      </c>
      <c r="L56" s="86">
        <f>Punteggio!F17</f>
        <v>74</v>
      </c>
      <c r="M56" s="86">
        <v>78</v>
      </c>
      <c r="N56" s="86">
        <f t="shared" si="45"/>
        <v>1126.5</v>
      </c>
      <c r="O56" s="86">
        <f t="shared" si="46"/>
        <v>1085</v>
      </c>
      <c r="P56" s="278">
        <f t="shared" si="33"/>
        <v>41.5</v>
      </c>
      <c r="Q56" s="86">
        <f>Punteggio!H17</f>
        <v>71</v>
      </c>
      <c r="R56" s="86">
        <v>65.5</v>
      </c>
      <c r="S56" s="86">
        <f t="shared" si="47"/>
        <v>1071</v>
      </c>
      <c r="T56" s="86">
        <f t="shared" si="48"/>
        <v>1116.5</v>
      </c>
      <c r="U56" s="278">
        <f t="shared" si="34"/>
        <v>-45.5</v>
      </c>
      <c r="V56" s="86">
        <f>Punteggio!J17</f>
        <v>68</v>
      </c>
      <c r="W56" s="86">
        <v>61.5</v>
      </c>
      <c r="X56" s="86">
        <f t="shared" si="49"/>
        <v>1095.5</v>
      </c>
      <c r="Y56" s="86">
        <f t="shared" si="50"/>
        <v>1124.5</v>
      </c>
      <c r="Z56" s="278">
        <f t="shared" si="35"/>
        <v>-29</v>
      </c>
      <c r="AA56" s="86">
        <f>Punteggio!L17</f>
        <v>72</v>
      </c>
      <c r="AB56" s="86">
        <v>81.5</v>
      </c>
      <c r="AC56" s="86">
        <f t="shared" si="51"/>
        <v>1081</v>
      </c>
      <c r="AD56" s="86">
        <f t="shared" si="52"/>
        <v>1109.5</v>
      </c>
      <c r="AE56" s="278">
        <f t="shared" si="36"/>
        <v>-28.5</v>
      </c>
      <c r="AF56" s="86">
        <f>Punteggio!N17</f>
        <v>65.5</v>
      </c>
      <c r="AG56" s="86">
        <v>66.5</v>
      </c>
      <c r="AH56" s="86">
        <f t="shared" si="53"/>
        <v>1081</v>
      </c>
      <c r="AI56" s="86">
        <f t="shared" si="54"/>
        <v>1117</v>
      </c>
      <c r="AJ56" s="278">
        <f t="shared" si="37"/>
        <v>-36</v>
      </c>
      <c r="AK56" s="86">
        <f>Punteggio!P17</f>
        <v>69.5</v>
      </c>
      <c r="AL56" s="86">
        <v>78.5</v>
      </c>
      <c r="AM56" s="86">
        <f t="shared" si="55"/>
        <v>1027</v>
      </c>
      <c r="AN56" s="86">
        <f t="shared" si="56"/>
        <v>1138</v>
      </c>
      <c r="AO56" s="278">
        <f t="shared" si="38"/>
        <v>-111</v>
      </c>
      <c r="AP56" s="86">
        <f>Punteggio!R17</f>
        <v>90.5</v>
      </c>
      <c r="AQ56" s="86">
        <v>70.5</v>
      </c>
      <c r="AR56" s="86">
        <f t="shared" si="57"/>
        <v>1129</v>
      </c>
      <c r="AS56" s="86">
        <f t="shared" si="58"/>
        <v>1172</v>
      </c>
      <c r="AT56" s="278">
        <f t="shared" si="39"/>
        <v>-43</v>
      </c>
      <c r="AU56" s="86">
        <f>Punteggio!T17</f>
        <v>66</v>
      </c>
      <c r="AV56" s="86">
        <v>73</v>
      </c>
      <c r="AW56" s="86">
        <f t="shared" si="59"/>
        <v>1101.5</v>
      </c>
      <c r="AX56" s="86">
        <f t="shared" si="60"/>
        <v>1118.5</v>
      </c>
      <c r="AY56" s="278">
        <f t="shared" si="40"/>
        <v>-17</v>
      </c>
    </row>
    <row r="57" spans="1:51" ht="15" x14ac:dyDescent="0.2">
      <c r="A57" s="276">
        <v>16</v>
      </c>
      <c r="B57" s="86">
        <f>Punteggio!B18</f>
        <v>77.5</v>
      </c>
      <c r="C57" s="86">
        <v>71.5</v>
      </c>
      <c r="D57" s="86">
        <f t="shared" si="41"/>
        <v>1152</v>
      </c>
      <c r="E57" s="86">
        <f t="shared" si="42"/>
        <v>1195.5</v>
      </c>
      <c r="F57" s="278">
        <f t="shared" si="31"/>
        <v>-43.5</v>
      </c>
      <c r="G57" s="86">
        <f>Punteggio!D18</f>
        <v>71</v>
      </c>
      <c r="H57" s="86">
        <v>75.5</v>
      </c>
      <c r="I57" s="86">
        <f t="shared" si="43"/>
        <v>1182.5</v>
      </c>
      <c r="J57" s="86">
        <f t="shared" si="44"/>
        <v>1234.5</v>
      </c>
      <c r="K57" s="278">
        <f t="shared" si="32"/>
        <v>-52</v>
      </c>
      <c r="L57" s="86">
        <f>Punteggio!F18</f>
        <v>71</v>
      </c>
      <c r="M57" s="86">
        <v>69</v>
      </c>
      <c r="N57" s="86">
        <f t="shared" si="45"/>
        <v>1197.5</v>
      </c>
      <c r="O57" s="86">
        <f t="shared" si="46"/>
        <v>1154</v>
      </c>
      <c r="P57" s="278">
        <f t="shared" si="33"/>
        <v>43.5</v>
      </c>
      <c r="Q57" s="86">
        <f>Punteggio!H18</f>
        <v>80</v>
      </c>
      <c r="R57" s="86">
        <v>75.5</v>
      </c>
      <c r="S57" s="86">
        <f t="shared" si="47"/>
        <v>1151</v>
      </c>
      <c r="T57" s="86">
        <f t="shared" si="48"/>
        <v>1192</v>
      </c>
      <c r="U57" s="278">
        <f t="shared" si="34"/>
        <v>-41</v>
      </c>
      <c r="V57" s="86">
        <f>Punteggio!J18</f>
        <v>81.5</v>
      </c>
      <c r="W57" s="86">
        <v>69</v>
      </c>
      <c r="X57" s="86">
        <f t="shared" si="49"/>
        <v>1177</v>
      </c>
      <c r="Y57" s="86">
        <f t="shared" si="50"/>
        <v>1193.5</v>
      </c>
      <c r="Z57" s="278">
        <f t="shared" si="35"/>
        <v>-16.5</v>
      </c>
      <c r="AA57" s="86">
        <f>Punteggio!L18</f>
        <v>68.5</v>
      </c>
      <c r="AB57" s="86">
        <v>68.5</v>
      </c>
      <c r="AC57" s="86">
        <f t="shared" si="51"/>
        <v>1149.5</v>
      </c>
      <c r="AD57" s="86">
        <f t="shared" si="52"/>
        <v>1178</v>
      </c>
      <c r="AE57" s="278">
        <f t="shared" si="36"/>
        <v>-28.5</v>
      </c>
      <c r="AF57" s="86">
        <f>Punteggio!N18</f>
        <v>77.5</v>
      </c>
      <c r="AG57" s="86">
        <v>68.5</v>
      </c>
      <c r="AH57" s="86">
        <f t="shared" si="53"/>
        <v>1158.5</v>
      </c>
      <c r="AI57" s="86">
        <f t="shared" si="54"/>
        <v>1185.5</v>
      </c>
      <c r="AJ57" s="278">
        <f t="shared" si="37"/>
        <v>-27</v>
      </c>
      <c r="AK57" s="86">
        <f>Punteggio!P18</f>
        <v>77.5</v>
      </c>
      <c r="AL57" s="86">
        <v>83</v>
      </c>
      <c r="AM57" s="86">
        <f t="shared" si="55"/>
        <v>1104.5</v>
      </c>
      <c r="AN57" s="86">
        <f t="shared" si="56"/>
        <v>1221</v>
      </c>
      <c r="AO57" s="278">
        <f t="shared" si="38"/>
        <v>-116.5</v>
      </c>
      <c r="AP57" s="86">
        <f>Punteggio!R18</f>
        <v>72.5</v>
      </c>
      <c r="AQ57" s="86">
        <v>68</v>
      </c>
      <c r="AR57" s="86">
        <f t="shared" si="57"/>
        <v>1201.5</v>
      </c>
      <c r="AS57" s="86">
        <f t="shared" si="58"/>
        <v>1240</v>
      </c>
      <c r="AT57" s="278">
        <f t="shared" si="39"/>
        <v>-38.5</v>
      </c>
      <c r="AU57" s="86">
        <f>Punteggio!T18</f>
        <v>77.5</v>
      </c>
      <c r="AV57" s="86">
        <v>74</v>
      </c>
      <c r="AW57" s="86">
        <f t="shared" si="59"/>
        <v>1179</v>
      </c>
      <c r="AX57" s="86">
        <f t="shared" si="60"/>
        <v>1192.5</v>
      </c>
      <c r="AY57" s="278">
        <f t="shared" si="40"/>
        <v>-13.5</v>
      </c>
    </row>
    <row r="58" spans="1:51" ht="15" x14ac:dyDescent="0.2">
      <c r="A58" s="276">
        <v>17</v>
      </c>
      <c r="B58" s="86">
        <f>Punteggio!B19</f>
        <v>81.5</v>
      </c>
      <c r="C58" s="86">
        <v>69.5</v>
      </c>
      <c r="D58" s="86">
        <f t="shared" si="41"/>
        <v>1233.5</v>
      </c>
      <c r="E58" s="86">
        <f t="shared" si="42"/>
        <v>1265</v>
      </c>
      <c r="F58" s="278">
        <f t="shared" si="31"/>
        <v>-31.5</v>
      </c>
      <c r="G58" s="86">
        <f>Punteggio!D19</f>
        <v>86.5</v>
      </c>
      <c r="H58" s="86">
        <v>79</v>
      </c>
      <c r="I58" s="86">
        <f t="shared" si="43"/>
        <v>1269</v>
      </c>
      <c r="J58" s="86">
        <f t="shared" si="44"/>
        <v>1313.5</v>
      </c>
      <c r="K58" s="278">
        <f t="shared" si="32"/>
        <v>-44.5</v>
      </c>
      <c r="L58" s="86">
        <f>Punteggio!F19</f>
        <v>68.5</v>
      </c>
      <c r="M58" s="86">
        <v>66</v>
      </c>
      <c r="N58" s="86">
        <f t="shared" si="45"/>
        <v>1266</v>
      </c>
      <c r="O58" s="86">
        <f t="shared" si="46"/>
        <v>1220</v>
      </c>
      <c r="P58" s="278">
        <f t="shared" si="33"/>
        <v>46</v>
      </c>
      <c r="Q58" s="86">
        <f>Punteggio!H19</f>
        <v>69.5</v>
      </c>
      <c r="R58" s="86">
        <v>74</v>
      </c>
      <c r="S58" s="86">
        <f t="shared" si="47"/>
        <v>1220.5</v>
      </c>
      <c r="T58" s="86">
        <f t="shared" si="48"/>
        <v>1266</v>
      </c>
      <c r="U58" s="278">
        <f t="shared" si="34"/>
        <v>-45.5</v>
      </c>
      <c r="V58" s="86">
        <f>Punteggio!J19</f>
        <v>80.5</v>
      </c>
      <c r="W58" s="86">
        <v>77.5</v>
      </c>
      <c r="X58" s="86">
        <f t="shared" si="49"/>
        <v>1257.5</v>
      </c>
      <c r="Y58" s="86">
        <f t="shared" si="50"/>
        <v>1271</v>
      </c>
      <c r="Z58" s="278">
        <f t="shared" si="35"/>
        <v>-13.5</v>
      </c>
      <c r="AA58" s="86">
        <f>Punteggio!L19</f>
        <v>78.5</v>
      </c>
      <c r="AB58" s="86">
        <v>72.5</v>
      </c>
      <c r="AC58" s="86">
        <f t="shared" si="51"/>
        <v>1228</v>
      </c>
      <c r="AD58" s="86">
        <f t="shared" si="52"/>
        <v>1250.5</v>
      </c>
      <c r="AE58" s="278">
        <f t="shared" si="36"/>
        <v>-22.5</v>
      </c>
      <c r="AF58" s="86">
        <f>Punteggio!N19</f>
        <v>81.5</v>
      </c>
      <c r="AG58" s="86">
        <v>74</v>
      </c>
      <c r="AH58" s="86">
        <f t="shared" si="53"/>
        <v>1240</v>
      </c>
      <c r="AI58" s="86">
        <f t="shared" si="54"/>
        <v>1259.5</v>
      </c>
      <c r="AJ58" s="278">
        <f t="shared" si="37"/>
        <v>-19.5</v>
      </c>
      <c r="AK58" s="86">
        <f>Punteggio!P19</f>
        <v>74.5</v>
      </c>
      <c r="AL58" s="86">
        <v>90.5</v>
      </c>
      <c r="AM58" s="86">
        <f t="shared" si="55"/>
        <v>1179</v>
      </c>
      <c r="AN58" s="86">
        <f t="shared" si="56"/>
        <v>1311.5</v>
      </c>
      <c r="AO58" s="278">
        <f t="shared" si="38"/>
        <v>-132.5</v>
      </c>
      <c r="AP58" s="86">
        <f>Punteggio!R19</f>
        <v>74.5</v>
      </c>
      <c r="AQ58" s="86">
        <v>69</v>
      </c>
      <c r="AR58" s="86">
        <f t="shared" si="57"/>
        <v>1276</v>
      </c>
      <c r="AS58" s="86">
        <f t="shared" si="58"/>
        <v>1309</v>
      </c>
      <c r="AT58" s="278">
        <f t="shared" si="39"/>
        <v>-33</v>
      </c>
      <c r="AU58" s="86">
        <f>Punteggio!T19</f>
        <v>69</v>
      </c>
      <c r="AV58" s="86">
        <v>73.5</v>
      </c>
      <c r="AW58" s="86">
        <f t="shared" si="59"/>
        <v>1248</v>
      </c>
      <c r="AX58" s="86">
        <f t="shared" si="60"/>
        <v>1266</v>
      </c>
      <c r="AY58" s="278">
        <f t="shared" si="40"/>
        <v>-18</v>
      </c>
    </row>
    <row r="59" spans="1:51" ht="15" x14ac:dyDescent="0.2">
      <c r="A59" s="276">
        <v>18</v>
      </c>
      <c r="B59" s="86">
        <f>Punteggio!B20</f>
        <v>71</v>
      </c>
      <c r="C59" s="86">
        <v>72</v>
      </c>
      <c r="D59" s="86">
        <f t="shared" si="41"/>
        <v>1304.5</v>
      </c>
      <c r="E59" s="86">
        <f t="shared" si="42"/>
        <v>1337</v>
      </c>
      <c r="F59" s="278">
        <f t="shared" si="31"/>
        <v>-32.5</v>
      </c>
      <c r="G59" s="86">
        <f>Punteggio!D20</f>
        <v>72.5</v>
      </c>
      <c r="H59" s="86">
        <v>88.5</v>
      </c>
      <c r="I59" s="86">
        <f t="shared" si="43"/>
        <v>1341.5</v>
      </c>
      <c r="J59" s="86">
        <f t="shared" si="44"/>
        <v>1402</v>
      </c>
      <c r="K59" s="278">
        <f t="shared" si="32"/>
        <v>-60.5</v>
      </c>
      <c r="L59" s="86">
        <f>Punteggio!F20</f>
        <v>68</v>
      </c>
      <c r="M59" s="86">
        <v>71</v>
      </c>
      <c r="N59" s="86">
        <f t="shared" si="45"/>
        <v>1334</v>
      </c>
      <c r="O59" s="86">
        <f t="shared" si="46"/>
        <v>1291</v>
      </c>
      <c r="P59" s="278">
        <f t="shared" si="33"/>
        <v>43</v>
      </c>
      <c r="Q59" s="86">
        <f>Punteggio!H20</f>
        <v>71.5</v>
      </c>
      <c r="R59" s="86">
        <v>68</v>
      </c>
      <c r="S59" s="86">
        <f t="shared" si="47"/>
        <v>1292</v>
      </c>
      <c r="T59" s="86">
        <f t="shared" si="48"/>
        <v>1334</v>
      </c>
      <c r="U59" s="278">
        <f t="shared" si="34"/>
        <v>-42</v>
      </c>
      <c r="V59" s="86">
        <f>Punteggio!J20</f>
        <v>67</v>
      </c>
      <c r="W59" s="86">
        <v>80.5</v>
      </c>
      <c r="X59" s="86">
        <f t="shared" si="49"/>
        <v>1324.5</v>
      </c>
      <c r="Y59" s="86">
        <f t="shared" si="50"/>
        <v>1351.5</v>
      </c>
      <c r="Z59" s="278">
        <f t="shared" si="35"/>
        <v>-27</v>
      </c>
      <c r="AA59" s="86">
        <f>Punteggio!L20</f>
        <v>70.5</v>
      </c>
      <c r="AB59" s="86">
        <v>78</v>
      </c>
      <c r="AC59" s="86">
        <f t="shared" si="51"/>
        <v>1298.5</v>
      </c>
      <c r="AD59" s="86">
        <f t="shared" si="52"/>
        <v>1328.5</v>
      </c>
      <c r="AE59" s="278">
        <f t="shared" si="36"/>
        <v>-30</v>
      </c>
      <c r="AF59" s="86">
        <f>Punteggio!N20</f>
        <v>72.5</v>
      </c>
      <c r="AG59" s="86">
        <v>75.5</v>
      </c>
      <c r="AH59" s="86">
        <f t="shared" si="53"/>
        <v>1312.5</v>
      </c>
      <c r="AI59" s="86">
        <f t="shared" si="54"/>
        <v>1335</v>
      </c>
      <c r="AJ59" s="278">
        <f t="shared" si="37"/>
        <v>-22.5</v>
      </c>
      <c r="AK59" s="86">
        <f>Punteggio!P20</f>
        <v>67.5</v>
      </c>
      <c r="AL59" s="86">
        <v>72</v>
      </c>
      <c r="AM59" s="86">
        <f t="shared" si="55"/>
        <v>1246.5</v>
      </c>
      <c r="AN59" s="86">
        <f t="shared" si="56"/>
        <v>1383.5</v>
      </c>
      <c r="AO59" s="278">
        <f t="shared" si="38"/>
        <v>-137</v>
      </c>
      <c r="AP59" s="86">
        <f>Punteggio!R20</f>
        <v>76.5</v>
      </c>
      <c r="AQ59" s="86">
        <v>87</v>
      </c>
      <c r="AR59" s="86">
        <f t="shared" si="57"/>
        <v>1352.5</v>
      </c>
      <c r="AS59" s="86">
        <f t="shared" si="58"/>
        <v>1396</v>
      </c>
      <c r="AT59" s="278">
        <f t="shared" si="39"/>
        <v>-43.5</v>
      </c>
      <c r="AU59" s="86">
        <f>Punteggio!T20</f>
        <v>81.5</v>
      </c>
      <c r="AV59" s="86">
        <v>87</v>
      </c>
      <c r="AW59" s="86">
        <f t="shared" si="59"/>
        <v>1329.5</v>
      </c>
      <c r="AX59" s="86">
        <f t="shared" si="60"/>
        <v>1353</v>
      </c>
      <c r="AY59" s="278">
        <f t="shared" si="40"/>
        <v>-23.5</v>
      </c>
    </row>
    <row r="60" spans="1:51" ht="15" x14ac:dyDescent="0.2">
      <c r="A60" s="276">
        <v>19</v>
      </c>
      <c r="B60" s="86">
        <f>Punteggio!B21</f>
        <v>78.5</v>
      </c>
      <c r="C60" s="86">
        <v>82</v>
      </c>
      <c r="D60" s="86">
        <f t="shared" si="41"/>
        <v>1383</v>
      </c>
      <c r="E60" s="86">
        <f t="shared" si="42"/>
        <v>1419</v>
      </c>
      <c r="F60" s="278">
        <f t="shared" si="31"/>
        <v>-36</v>
      </c>
      <c r="G60" s="86">
        <f>Punteggio!D21</f>
        <v>65</v>
      </c>
      <c r="H60" s="86">
        <v>75.5</v>
      </c>
      <c r="I60" s="86">
        <f t="shared" si="43"/>
        <v>1406.5</v>
      </c>
      <c r="J60" s="86">
        <f t="shared" si="44"/>
        <v>1477.5</v>
      </c>
      <c r="K60" s="278">
        <f t="shared" si="32"/>
        <v>-71</v>
      </c>
      <c r="L60" s="86">
        <f>Punteggio!F21</f>
        <v>83</v>
      </c>
      <c r="M60" s="86">
        <v>64</v>
      </c>
      <c r="N60" s="86">
        <f t="shared" si="45"/>
        <v>1417</v>
      </c>
      <c r="O60" s="86">
        <f t="shared" si="46"/>
        <v>1355</v>
      </c>
      <c r="P60" s="278">
        <f t="shared" si="33"/>
        <v>62</v>
      </c>
      <c r="Q60" s="86">
        <f>Punteggio!H21</f>
        <v>81</v>
      </c>
      <c r="R60" s="86">
        <v>77.5</v>
      </c>
      <c r="S60" s="86">
        <f t="shared" si="47"/>
        <v>1373</v>
      </c>
      <c r="T60" s="86">
        <f t="shared" si="48"/>
        <v>1411.5</v>
      </c>
      <c r="U60" s="278">
        <f t="shared" si="34"/>
        <v>-38.5</v>
      </c>
      <c r="V60" s="86">
        <f>Punteggio!J21</f>
        <v>75</v>
      </c>
      <c r="W60" s="86">
        <v>63.5</v>
      </c>
      <c r="X60" s="86">
        <f t="shared" si="49"/>
        <v>1399.5</v>
      </c>
      <c r="Y60" s="86">
        <f t="shared" si="50"/>
        <v>1415</v>
      </c>
      <c r="Z60" s="278">
        <f t="shared" si="35"/>
        <v>-15.5</v>
      </c>
      <c r="AA60" s="86">
        <f>Punteggio!L21</f>
        <v>76</v>
      </c>
      <c r="AB60" s="86">
        <v>71</v>
      </c>
      <c r="AC60" s="86">
        <f t="shared" si="51"/>
        <v>1374.5</v>
      </c>
      <c r="AD60" s="86">
        <f t="shared" si="52"/>
        <v>1399.5</v>
      </c>
      <c r="AE60" s="278">
        <f t="shared" si="36"/>
        <v>-25</v>
      </c>
      <c r="AF60" s="86">
        <f>Punteggio!N21</f>
        <v>88</v>
      </c>
      <c r="AG60" s="86">
        <v>73</v>
      </c>
      <c r="AH60" s="86">
        <f t="shared" si="53"/>
        <v>1400.5</v>
      </c>
      <c r="AI60" s="86">
        <f t="shared" si="54"/>
        <v>1408</v>
      </c>
      <c r="AJ60" s="278">
        <f t="shared" si="37"/>
        <v>-7.5</v>
      </c>
      <c r="AK60" s="86">
        <f>Punteggio!P21</f>
        <v>73</v>
      </c>
      <c r="AL60" s="86">
        <v>80.5</v>
      </c>
      <c r="AM60" s="86">
        <f t="shared" si="55"/>
        <v>1319.5</v>
      </c>
      <c r="AN60" s="86">
        <f t="shared" si="56"/>
        <v>1464</v>
      </c>
      <c r="AO60" s="278">
        <f t="shared" si="38"/>
        <v>-144.5</v>
      </c>
      <c r="AP60" s="86">
        <f>Punteggio!R21</f>
        <v>66</v>
      </c>
      <c r="AQ60" s="86">
        <v>85</v>
      </c>
      <c r="AR60" s="86">
        <f t="shared" si="57"/>
        <v>1418.5</v>
      </c>
      <c r="AS60" s="86">
        <f t="shared" si="58"/>
        <v>1481</v>
      </c>
      <c r="AT60" s="278">
        <f t="shared" si="39"/>
        <v>-62.5</v>
      </c>
      <c r="AU60" s="86">
        <f>Punteggio!T21</f>
        <v>90.5</v>
      </c>
      <c r="AV60" s="86">
        <v>79.5</v>
      </c>
      <c r="AW60" s="86">
        <f t="shared" si="59"/>
        <v>1420</v>
      </c>
      <c r="AX60" s="86">
        <f t="shared" si="60"/>
        <v>1432.5</v>
      </c>
      <c r="AY60" s="278">
        <f t="shared" si="40"/>
        <v>-12.5</v>
      </c>
    </row>
    <row r="61" spans="1:51" ht="15" x14ac:dyDescent="0.2">
      <c r="A61" s="276">
        <v>20</v>
      </c>
      <c r="B61" s="86">
        <f>Punteggio!B22</f>
        <v>73.5</v>
      </c>
      <c r="C61" s="86">
        <v>75</v>
      </c>
      <c r="D61" s="86">
        <f t="shared" si="41"/>
        <v>1456.5</v>
      </c>
      <c r="E61" s="86">
        <f t="shared" si="42"/>
        <v>1494</v>
      </c>
      <c r="F61" s="278">
        <f t="shared" si="31"/>
        <v>-37.5</v>
      </c>
      <c r="G61" s="86">
        <f>Punteggio!D22</f>
        <v>77</v>
      </c>
      <c r="H61" s="86">
        <v>63.5</v>
      </c>
      <c r="I61" s="86">
        <f t="shared" si="43"/>
        <v>1483.5</v>
      </c>
      <c r="J61" s="86">
        <f t="shared" si="44"/>
        <v>1541</v>
      </c>
      <c r="K61" s="278">
        <f t="shared" si="32"/>
        <v>-57.5</v>
      </c>
      <c r="L61" s="86">
        <f>Punteggio!F22</f>
        <v>79</v>
      </c>
      <c r="M61" s="86">
        <v>83.5</v>
      </c>
      <c r="N61" s="86">
        <f t="shared" si="45"/>
        <v>1496</v>
      </c>
      <c r="O61" s="86">
        <f t="shared" si="46"/>
        <v>1438.5</v>
      </c>
      <c r="P61" s="278">
        <f t="shared" si="33"/>
        <v>57.5</v>
      </c>
      <c r="Q61" s="86">
        <f>Punteggio!H22</f>
        <v>70</v>
      </c>
      <c r="R61" s="86">
        <v>82</v>
      </c>
      <c r="S61" s="86">
        <f t="shared" si="47"/>
        <v>1443</v>
      </c>
      <c r="T61" s="86">
        <f t="shared" si="48"/>
        <v>1493.5</v>
      </c>
      <c r="U61" s="278">
        <f t="shared" si="34"/>
        <v>-50.5</v>
      </c>
      <c r="V61" s="86">
        <f>Punteggio!J22</f>
        <v>74.5</v>
      </c>
      <c r="W61" s="86">
        <v>84</v>
      </c>
      <c r="X61" s="86">
        <f t="shared" si="49"/>
        <v>1474</v>
      </c>
      <c r="Y61" s="86">
        <f t="shared" si="50"/>
        <v>1499</v>
      </c>
      <c r="Z61" s="278">
        <f t="shared" si="35"/>
        <v>-25</v>
      </c>
      <c r="AA61" s="86">
        <f>Punteggio!L22</f>
        <v>91.5</v>
      </c>
      <c r="AB61" s="86">
        <v>62.5</v>
      </c>
      <c r="AC61" s="86">
        <f t="shared" si="51"/>
        <v>1466</v>
      </c>
      <c r="AD61" s="86">
        <f t="shared" si="52"/>
        <v>1462</v>
      </c>
      <c r="AE61" s="278">
        <f t="shared" si="36"/>
        <v>4</v>
      </c>
      <c r="AF61" s="86">
        <f>Punteggio!N22</f>
        <v>73</v>
      </c>
      <c r="AG61" s="86">
        <v>75.5</v>
      </c>
      <c r="AH61" s="86">
        <f t="shared" si="53"/>
        <v>1473.5</v>
      </c>
      <c r="AI61" s="86">
        <f t="shared" si="54"/>
        <v>1483.5</v>
      </c>
      <c r="AJ61" s="278">
        <f t="shared" si="37"/>
        <v>-10</v>
      </c>
      <c r="AK61" s="86">
        <f>Punteggio!P22</f>
        <v>94</v>
      </c>
      <c r="AL61" s="86">
        <v>73.5</v>
      </c>
      <c r="AM61" s="86">
        <f t="shared" si="55"/>
        <v>1413.5</v>
      </c>
      <c r="AN61" s="86">
        <f t="shared" si="56"/>
        <v>1537.5</v>
      </c>
      <c r="AO61" s="278">
        <f t="shared" si="38"/>
        <v>-124</v>
      </c>
      <c r="AP61" s="86">
        <f>Punteggio!R22</f>
        <v>75.5</v>
      </c>
      <c r="AQ61" s="86">
        <v>87</v>
      </c>
      <c r="AR61" s="86">
        <f t="shared" si="57"/>
        <v>1494</v>
      </c>
      <c r="AS61" s="86">
        <f t="shared" si="58"/>
        <v>1568</v>
      </c>
      <c r="AT61" s="278">
        <f t="shared" si="39"/>
        <v>-74</v>
      </c>
      <c r="AU61" s="86">
        <f>Punteggio!T22</f>
        <v>69.5</v>
      </c>
      <c r="AV61" s="86">
        <v>67</v>
      </c>
      <c r="AW61" s="86">
        <f t="shared" si="59"/>
        <v>1489.5</v>
      </c>
      <c r="AX61" s="86">
        <f t="shared" si="60"/>
        <v>1499.5</v>
      </c>
      <c r="AY61" s="278">
        <f t="shared" si="40"/>
        <v>-10</v>
      </c>
    </row>
    <row r="62" spans="1:51" ht="15" x14ac:dyDescent="0.2">
      <c r="A62" s="276">
        <v>21</v>
      </c>
      <c r="B62" s="86">
        <f>Punteggio!B23</f>
        <v>62</v>
      </c>
      <c r="C62" s="86">
        <v>83.5</v>
      </c>
      <c r="D62" s="86">
        <f t="shared" si="41"/>
        <v>1518.5</v>
      </c>
      <c r="E62" s="86">
        <f t="shared" si="42"/>
        <v>1577.5</v>
      </c>
      <c r="F62" s="278">
        <f t="shared" si="31"/>
        <v>-59</v>
      </c>
      <c r="G62" s="86">
        <f>Punteggio!D23</f>
        <v>75.5</v>
      </c>
      <c r="H62" s="86">
        <v>72.5</v>
      </c>
      <c r="I62" s="86">
        <f t="shared" si="43"/>
        <v>1559</v>
      </c>
      <c r="J62" s="86">
        <f t="shared" si="44"/>
        <v>1613.5</v>
      </c>
      <c r="K62" s="278">
        <f t="shared" si="32"/>
        <v>-54.5</v>
      </c>
      <c r="L62" s="86">
        <f>Punteggio!F23</f>
        <v>83</v>
      </c>
      <c r="M62" s="86">
        <v>75</v>
      </c>
      <c r="N62" s="86">
        <f t="shared" si="45"/>
        <v>1579</v>
      </c>
      <c r="O62" s="86">
        <f t="shared" si="46"/>
        <v>1513.5</v>
      </c>
      <c r="P62" s="278">
        <f t="shared" si="33"/>
        <v>65.5</v>
      </c>
      <c r="Q62" s="86">
        <f>Punteggio!H23</f>
        <v>73</v>
      </c>
      <c r="R62" s="86">
        <v>69</v>
      </c>
      <c r="S62" s="86">
        <f t="shared" si="47"/>
        <v>1516</v>
      </c>
      <c r="T62" s="86">
        <f t="shared" si="48"/>
        <v>1562.5</v>
      </c>
      <c r="U62" s="278">
        <f t="shared" si="34"/>
        <v>-46.5</v>
      </c>
      <c r="V62" s="86">
        <f>Punteggio!J23</f>
        <v>86.5</v>
      </c>
      <c r="W62" s="86">
        <v>66.5</v>
      </c>
      <c r="X62" s="86">
        <f t="shared" si="49"/>
        <v>1560.5</v>
      </c>
      <c r="Y62" s="86">
        <f t="shared" si="50"/>
        <v>1565.5</v>
      </c>
      <c r="Z62" s="278">
        <f t="shared" si="35"/>
        <v>-5</v>
      </c>
      <c r="AA62" s="86">
        <f>Punteggio!L23</f>
        <v>76.5</v>
      </c>
      <c r="AB62" s="86">
        <v>94</v>
      </c>
      <c r="AC62" s="86">
        <f t="shared" si="51"/>
        <v>1542.5</v>
      </c>
      <c r="AD62" s="86">
        <f t="shared" si="52"/>
        <v>1556</v>
      </c>
      <c r="AE62" s="278">
        <f t="shared" si="36"/>
        <v>-13.5</v>
      </c>
      <c r="AF62" s="86">
        <f>Punteggio!N23</f>
        <v>78.5</v>
      </c>
      <c r="AG62" s="86">
        <v>75</v>
      </c>
      <c r="AH62" s="86">
        <f t="shared" si="53"/>
        <v>1552</v>
      </c>
      <c r="AI62" s="86">
        <f t="shared" si="54"/>
        <v>1558.5</v>
      </c>
      <c r="AJ62" s="278">
        <f t="shared" si="37"/>
        <v>-6.5</v>
      </c>
      <c r="AK62" s="86">
        <f>Punteggio!P23</f>
        <v>82</v>
      </c>
      <c r="AL62" s="86">
        <v>78.5</v>
      </c>
      <c r="AM62" s="86">
        <f t="shared" si="55"/>
        <v>1495.5</v>
      </c>
      <c r="AN62" s="86">
        <f t="shared" si="56"/>
        <v>1616</v>
      </c>
      <c r="AO62" s="278">
        <f t="shared" si="38"/>
        <v>-120.5</v>
      </c>
      <c r="AP62" s="86">
        <f>Punteggio!R23</f>
        <v>66.5</v>
      </c>
      <c r="AQ62" s="86">
        <v>68</v>
      </c>
      <c r="AR62" s="86">
        <f t="shared" si="57"/>
        <v>1560.5</v>
      </c>
      <c r="AS62" s="86">
        <f t="shared" si="58"/>
        <v>1636</v>
      </c>
      <c r="AT62" s="278">
        <f t="shared" si="39"/>
        <v>-75.5</v>
      </c>
      <c r="AU62" s="86">
        <f>Punteggio!T23</f>
        <v>79</v>
      </c>
      <c r="AV62" s="86">
        <v>86</v>
      </c>
      <c r="AW62" s="86">
        <f t="shared" si="59"/>
        <v>1568.5</v>
      </c>
      <c r="AX62" s="86">
        <f t="shared" si="60"/>
        <v>1585.5</v>
      </c>
      <c r="AY62" s="278">
        <f t="shared" si="40"/>
        <v>-17</v>
      </c>
    </row>
    <row r="63" spans="1:51" ht="15" x14ac:dyDescent="0.2">
      <c r="A63" s="276">
        <v>22</v>
      </c>
      <c r="B63" s="86">
        <f>Punteggio!B24</f>
        <v>83</v>
      </c>
      <c r="C63" s="86">
        <v>77</v>
      </c>
      <c r="D63" s="86">
        <f t="shared" si="41"/>
        <v>1601.5</v>
      </c>
      <c r="E63" s="86">
        <f t="shared" si="42"/>
        <v>1654.5</v>
      </c>
      <c r="F63" s="278">
        <f t="shared" si="31"/>
        <v>-53</v>
      </c>
      <c r="G63" s="86">
        <f>Punteggio!D24</f>
        <v>62.5</v>
      </c>
      <c r="H63" s="86">
        <v>71</v>
      </c>
      <c r="I63" s="86">
        <f t="shared" si="43"/>
        <v>1621.5</v>
      </c>
      <c r="J63" s="86">
        <f t="shared" si="44"/>
        <v>1684.5</v>
      </c>
      <c r="K63" s="278">
        <f t="shared" si="32"/>
        <v>-63</v>
      </c>
      <c r="L63" s="86">
        <f>Punteggio!F24</f>
        <v>72</v>
      </c>
      <c r="M63" s="86">
        <v>77.5</v>
      </c>
      <c r="N63" s="86">
        <f t="shared" si="45"/>
        <v>1651</v>
      </c>
      <c r="O63" s="86">
        <f t="shared" si="46"/>
        <v>1591</v>
      </c>
      <c r="P63" s="278">
        <f t="shared" si="33"/>
        <v>60</v>
      </c>
      <c r="Q63" s="86">
        <f>Punteggio!H24</f>
        <v>72.5</v>
      </c>
      <c r="R63" s="86">
        <v>81.5</v>
      </c>
      <c r="S63" s="86">
        <f t="shared" si="47"/>
        <v>1588.5</v>
      </c>
      <c r="T63" s="86">
        <f t="shared" si="48"/>
        <v>1644</v>
      </c>
      <c r="U63" s="278">
        <f t="shared" si="34"/>
        <v>-55.5</v>
      </c>
      <c r="V63" s="86">
        <f>Punteggio!J24</f>
        <v>89</v>
      </c>
      <c r="W63" s="86">
        <v>78</v>
      </c>
      <c r="X63" s="86">
        <f t="shared" si="49"/>
        <v>1649.5</v>
      </c>
      <c r="Y63" s="86">
        <f t="shared" si="50"/>
        <v>1643.5</v>
      </c>
      <c r="Z63" s="278">
        <f t="shared" si="35"/>
        <v>6</v>
      </c>
      <c r="AA63" s="86">
        <f>Punteggio!L24</f>
        <v>62.5</v>
      </c>
      <c r="AB63" s="86">
        <v>70.5</v>
      </c>
      <c r="AC63" s="86">
        <f t="shared" si="51"/>
        <v>1605</v>
      </c>
      <c r="AD63" s="86">
        <f t="shared" si="52"/>
        <v>1626.5</v>
      </c>
      <c r="AE63" s="278">
        <f t="shared" si="36"/>
        <v>-21.5</v>
      </c>
      <c r="AF63" s="86">
        <f>Punteggio!N24</f>
        <v>61.5</v>
      </c>
      <c r="AG63" s="86">
        <v>72.5</v>
      </c>
      <c r="AH63" s="86">
        <f t="shared" si="53"/>
        <v>1613.5</v>
      </c>
      <c r="AI63" s="86">
        <f t="shared" si="54"/>
        <v>1631</v>
      </c>
      <c r="AJ63" s="278">
        <f t="shared" si="37"/>
        <v>-17.5</v>
      </c>
      <c r="AK63" s="86">
        <f>Punteggio!P24</f>
        <v>80</v>
      </c>
      <c r="AL63" s="86">
        <v>67</v>
      </c>
      <c r="AM63" s="86">
        <f t="shared" si="55"/>
        <v>1575.5</v>
      </c>
      <c r="AN63" s="86">
        <f t="shared" si="56"/>
        <v>1683</v>
      </c>
      <c r="AO63" s="278">
        <f t="shared" si="38"/>
        <v>-107.5</v>
      </c>
      <c r="AP63" s="86">
        <f>Punteggio!R24</f>
        <v>71</v>
      </c>
      <c r="AQ63" s="86">
        <v>66</v>
      </c>
      <c r="AR63" s="86">
        <f t="shared" si="57"/>
        <v>1631.5</v>
      </c>
      <c r="AS63" s="86">
        <f t="shared" si="58"/>
        <v>1702</v>
      </c>
      <c r="AT63" s="278">
        <f t="shared" si="39"/>
        <v>-70.5</v>
      </c>
      <c r="AU63" s="86">
        <f>Punteggio!T24</f>
        <v>72</v>
      </c>
      <c r="AV63" s="86">
        <v>81.5</v>
      </c>
      <c r="AW63" s="86">
        <f t="shared" si="59"/>
        <v>1640.5</v>
      </c>
      <c r="AX63" s="86">
        <f t="shared" si="60"/>
        <v>1667</v>
      </c>
      <c r="AY63" s="278">
        <f t="shared" si="40"/>
        <v>-26.5</v>
      </c>
    </row>
    <row r="64" spans="1:51" ht="15" x14ac:dyDescent="0.2">
      <c r="A64" s="276">
        <v>23</v>
      </c>
      <c r="B64" s="86">
        <f>Punteggio!B25</f>
        <v>71</v>
      </c>
      <c r="C64" s="86">
        <v>81</v>
      </c>
      <c r="D64" s="86">
        <f t="shared" si="41"/>
        <v>1672.5</v>
      </c>
      <c r="E64" s="86">
        <f t="shared" si="42"/>
        <v>1735.5</v>
      </c>
      <c r="F64" s="278">
        <f t="shared" si="31"/>
        <v>-63</v>
      </c>
      <c r="G64" s="86">
        <f>Punteggio!D25</f>
        <v>66.5</v>
      </c>
      <c r="H64" s="86">
        <v>79</v>
      </c>
      <c r="I64" s="86">
        <f t="shared" si="43"/>
        <v>1688</v>
      </c>
      <c r="J64" s="86">
        <f t="shared" si="44"/>
        <v>1763.5</v>
      </c>
      <c r="K64" s="278">
        <f t="shared" si="32"/>
        <v>-75.5</v>
      </c>
      <c r="L64" s="86">
        <f>Punteggio!F25</f>
        <v>76</v>
      </c>
      <c r="M64" s="86">
        <v>74</v>
      </c>
      <c r="N64" s="86">
        <f t="shared" si="45"/>
        <v>1727</v>
      </c>
      <c r="O64" s="86">
        <f t="shared" si="46"/>
        <v>1665</v>
      </c>
      <c r="P64" s="278">
        <f t="shared" si="33"/>
        <v>62</v>
      </c>
      <c r="Q64" s="86">
        <f>Punteggio!H25</f>
        <v>75.5</v>
      </c>
      <c r="R64" s="86">
        <v>71</v>
      </c>
      <c r="S64" s="86">
        <f t="shared" si="47"/>
        <v>1664</v>
      </c>
      <c r="T64" s="86">
        <f t="shared" si="48"/>
        <v>1715</v>
      </c>
      <c r="U64" s="278">
        <f t="shared" si="34"/>
        <v>-51</v>
      </c>
      <c r="V64" s="86">
        <f>Punteggio!J25</f>
        <v>76.5</v>
      </c>
      <c r="W64" s="86">
        <v>70</v>
      </c>
      <c r="X64" s="86">
        <f t="shared" si="49"/>
        <v>1726</v>
      </c>
      <c r="Y64" s="86">
        <f t="shared" si="50"/>
        <v>1713.5</v>
      </c>
      <c r="Z64" s="278">
        <f t="shared" si="35"/>
        <v>12.5</v>
      </c>
      <c r="AA64" s="86">
        <f>Punteggio!L25</f>
        <v>70.5</v>
      </c>
      <c r="AB64" s="86">
        <v>68.5</v>
      </c>
      <c r="AC64" s="86">
        <f t="shared" si="51"/>
        <v>1675.5</v>
      </c>
      <c r="AD64" s="86">
        <f t="shared" si="52"/>
        <v>1695</v>
      </c>
      <c r="AE64" s="278">
        <f t="shared" si="36"/>
        <v>-19.5</v>
      </c>
      <c r="AF64" s="86">
        <f>Punteggio!N25</f>
        <v>68.5</v>
      </c>
      <c r="AG64" s="86">
        <v>64</v>
      </c>
      <c r="AH64" s="86">
        <f t="shared" si="53"/>
        <v>1682</v>
      </c>
      <c r="AI64" s="86">
        <f t="shared" si="54"/>
        <v>1695</v>
      </c>
      <c r="AJ64" s="278">
        <f t="shared" si="37"/>
        <v>-13</v>
      </c>
      <c r="AK64" s="86">
        <f>Punteggio!P25</f>
        <v>88.5</v>
      </c>
      <c r="AL64" s="86">
        <v>69.5</v>
      </c>
      <c r="AM64" s="86">
        <f t="shared" si="55"/>
        <v>1664</v>
      </c>
      <c r="AN64" s="86">
        <f t="shared" si="56"/>
        <v>1752.5</v>
      </c>
      <c r="AO64" s="278">
        <f t="shared" si="38"/>
        <v>-88.5</v>
      </c>
      <c r="AP64" s="86">
        <f>Punteggio!R25</f>
        <v>68</v>
      </c>
      <c r="AQ64" s="86">
        <v>70.5</v>
      </c>
      <c r="AR64" s="86">
        <f t="shared" si="57"/>
        <v>1699.5</v>
      </c>
      <c r="AS64" s="86">
        <f t="shared" si="58"/>
        <v>1772.5</v>
      </c>
      <c r="AT64" s="278">
        <f t="shared" si="39"/>
        <v>-73</v>
      </c>
      <c r="AU64" s="86">
        <f>Punteggio!T25</f>
        <v>76.5</v>
      </c>
      <c r="AV64" s="86">
        <v>90.5</v>
      </c>
      <c r="AW64" s="86">
        <f t="shared" si="59"/>
        <v>1717</v>
      </c>
      <c r="AX64" s="86">
        <f t="shared" si="60"/>
        <v>1757.5</v>
      </c>
      <c r="AY64" s="278">
        <f t="shared" si="40"/>
        <v>-40.5</v>
      </c>
    </row>
    <row r="65" spans="1:51" ht="15" x14ac:dyDescent="0.2">
      <c r="A65" s="276">
        <v>24</v>
      </c>
      <c r="B65" s="86">
        <f>Punteggio!B26</f>
        <v>69.5</v>
      </c>
      <c r="C65" s="86">
        <v>81.5</v>
      </c>
      <c r="D65" s="86">
        <f t="shared" si="41"/>
        <v>1742</v>
      </c>
      <c r="E65" s="86">
        <f t="shared" si="42"/>
        <v>1817</v>
      </c>
      <c r="F65" s="278">
        <f t="shared" si="31"/>
        <v>-75</v>
      </c>
      <c r="G65" s="86">
        <f>Punteggio!D26</f>
        <v>80</v>
      </c>
      <c r="H65" s="86">
        <v>66.5</v>
      </c>
      <c r="I65" s="86">
        <f t="shared" si="43"/>
        <v>1768</v>
      </c>
      <c r="J65" s="86">
        <f t="shared" si="44"/>
        <v>1830</v>
      </c>
      <c r="K65" s="278">
        <f t="shared" si="32"/>
        <v>-62</v>
      </c>
      <c r="L65" s="86">
        <f>Punteggio!F26</f>
        <v>64</v>
      </c>
      <c r="M65" s="86">
        <v>89.5</v>
      </c>
      <c r="N65" s="86">
        <f t="shared" si="45"/>
        <v>1791</v>
      </c>
      <c r="O65" s="86">
        <f t="shared" si="46"/>
        <v>1754.5</v>
      </c>
      <c r="P65" s="278">
        <f t="shared" si="33"/>
        <v>36.5</v>
      </c>
      <c r="Q65" s="86">
        <f>Punteggio!H26</f>
        <v>74</v>
      </c>
      <c r="R65" s="86">
        <v>66</v>
      </c>
      <c r="S65" s="86">
        <f t="shared" si="47"/>
        <v>1738</v>
      </c>
      <c r="T65" s="86">
        <f t="shared" si="48"/>
        <v>1781</v>
      </c>
      <c r="U65" s="278">
        <f t="shared" si="34"/>
        <v>-43</v>
      </c>
      <c r="V65" s="86">
        <f>Punteggio!J26</f>
        <v>87</v>
      </c>
      <c r="W65" s="86">
        <v>91</v>
      </c>
      <c r="X65" s="86">
        <f t="shared" si="49"/>
        <v>1813</v>
      </c>
      <c r="Y65" s="86">
        <f t="shared" si="50"/>
        <v>1804.5</v>
      </c>
      <c r="Z65" s="278">
        <f t="shared" si="35"/>
        <v>8.5</v>
      </c>
      <c r="AA65" s="86">
        <f>Punteggio!L26</f>
        <v>76</v>
      </c>
      <c r="AB65" s="86">
        <v>77</v>
      </c>
      <c r="AC65" s="86">
        <f t="shared" si="51"/>
        <v>1751.5</v>
      </c>
      <c r="AD65" s="86">
        <f t="shared" si="52"/>
        <v>1772</v>
      </c>
      <c r="AE65" s="278">
        <f t="shared" si="36"/>
        <v>-20.5</v>
      </c>
      <c r="AF65" s="86">
        <f>Punteggio!N26</f>
        <v>76.5</v>
      </c>
      <c r="AG65" s="86">
        <v>65.5</v>
      </c>
      <c r="AH65" s="86">
        <f t="shared" si="53"/>
        <v>1758.5</v>
      </c>
      <c r="AI65" s="86">
        <f t="shared" si="54"/>
        <v>1760.5</v>
      </c>
      <c r="AJ65" s="278">
        <f t="shared" si="37"/>
        <v>-2</v>
      </c>
      <c r="AK65" s="86">
        <f>Punteggio!P26</f>
        <v>70.5</v>
      </c>
      <c r="AL65" s="86">
        <v>69</v>
      </c>
      <c r="AM65" s="86">
        <f t="shared" si="55"/>
        <v>1734.5</v>
      </c>
      <c r="AN65" s="86">
        <f t="shared" si="56"/>
        <v>1821.5</v>
      </c>
      <c r="AO65" s="278">
        <f t="shared" si="38"/>
        <v>-87</v>
      </c>
      <c r="AP65" s="86">
        <f>Punteggio!R26</f>
        <v>69.5</v>
      </c>
      <c r="AQ65" s="86">
        <v>60</v>
      </c>
      <c r="AR65" s="86">
        <f t="shared" si="57"/>
        <v>1769</v>
      </c>
      <c r="AS65" s="86">
        <f t="shared" si="58"/>
        <v>1832.5</v>
      </c>
      <c r="AT65" s="278">
        <f t="shared" si="39"/>
        <v>-63.5</v>
      </c>
      <c r="AU65" s="86">
        <f>Punteggio!T26</f>
        <v>73.5</v>
      </c>
      <c r="AV65" s="86">
        <v>69.5</v>
      </c>
      <c r="AW65" s="86">
        <f t="shared" si="59"/>
        <v>1790.5</v>
      </c>
      <c r="AX65" s="86">
        <f t="shared" si="60"/>
        <v>1827</v>
      </c>
      <c r="AY65" s="278">
        <f t="shared" si="40"/>
        <v>-36.5</v>
      </c>
    </row>
    <row r="66" spans="1:51" ht="15" x14ac:dyDescent="0.2">
      <c r="A66" s="276">
        <v>25</v>
      </c>
      <c r="B66" s="86">
        <f>Punteggio!B27</f>
        <v>78</v>
      </c>
      <c r="C66" s="86">
        <v>72.5</v>
      </c>
      <c r="D66" s="86">
        <f t="shared" si="41"/>
        <v>1820</v>
      </c>
      <c r="E66" s="86">
        <f t="shared" si="42"/>
        <v>1889.5</v>
      </c>
      <c r="F66" s="278">
        <f t="shared" si="31"/>
        <v>-69.5</v>
      </c>
      <c r="G66" s="86">
        <f>Punteggio!D27</f>
        <v>79.5</v>
      </c>
      <c r="H66" s="86">
        <v>73</v>
      </c>
      <c r="I66" s="86">
        <f t="shared" si="43"/>
        <v>1847.5</v>
      </c>
      <c r="J66" s="86">
        <f t="shared" si="44"/>
        <v>1903</v>
      </c>
      <c r="K66" s="278">
        <f t="shared" si="32"/>
        <v>-55.5</v>
      </c>
      <c r="L66" s="86">
        <f>Punteggio!F27</f>
        <v>83</v>
      </c>
      <c r="M66" s="86">
        <v>67.5</v>
      </c>
      <c r="N66" s="86">
        <f t="shared" si="45"/>
        <v>1874</v>
      </c>
      <c r="O66" s="86">
        <f t="shared" si="46"/>
        <v>1822</v>
      </c>
      <c r="P66" s="278">
        <f t="shared" si="33"/>
        <v>52</v>
      </c>
      <c r="Q66" s="86">
        <f>Punteggio!H27</f>
        <v>64.5</v>
      </c>
      <c r="R66" s="86">
        <v>78.5</v>
      </c>
      <c r="S66" s="86">
        <f t="shared" si="47"/>
        <v>1802.5</v>
      </c>
      <c r="T66" s="86">
        <f t="shared" si="48"/>
        <v>1859.5</v>
      </c>
      <c r="U66" s="278">
        <f t="shared" si="34"/>
        <v>-57</v>
      </c>
      <c r="V66" s="86">
        <f>Punteggio!J27</f>
        <v>72</v>
      </c>
      <c r="W66" s="86">
        <v>63.5</v>
      </c>
      <c r="X66" s="86">
        <f t="shared" si="49"/>
        <v>1885</v>
      </c>
      <c r="Y66" s="86">
        <f t="shared" si="50"/>
        <v>1868</v>
      </c>
      <c r="Z66" s="278">
        <f t="shared" si="35"/>
        <v>17</v>
      </c>
      <c r="AA66" s="86">
        <f>Punteggio!L27</f>
        <v>72.5</v>
      </c>
      <c r="AB66" s="86">
        <v>83</v>
      </c>
      <c r="AC66" s="86">
        <f t="shared" si="51"/>
        <v>1824</v>
      </c>
      <c r="AD66" s="86">
        <f t="shared" si="52"/>
        <v>1855</v>
      </c>
      <c r="AE66" s="278">
        <f t="shared" si="36"/>
        <v>-31</v>
      </c>
      <c r="AF66" s="86">
        <f>Punteggio!N27</f>
        <v>77</v>
      </c>
      <c r="AG66" s="86">
        <v>65</v>
      </c>
      <c r="AH66" s="86">
        <f t="shared" si="53"/>
        <v>1835.5</v>
      </c>
      <c r="AI66" s="86">
        <f t="shared" si="54"/>
        <v>1825.5</v>
      </c>
      <c r="AJ66" s="278">
        <f t="shared" si="37"/>
        <v>10</v>
      </c>
      <c r="AK66" s="86">
        <f>Punteggio!P27</f>
        <v>84</v>
      </c>
      <c r="AL66" s="86">
        <v>83</v>
      </c>
      <c r="AM66" s="86">
        <f t="shared" si="55"/>
        <v>1818.5</v>
      </c>
      <c r="AN66" s="86">
        <f t="shared" si="56"/>
        <v>1904.5</v>
      </c>
      <c r="AO66" s="278">
        <f t="shared" si="38"/>
        <v>-86</v>
      </c>
      <c r="AP66" s="86">
        <f>Punteggio!R27</f>
        <v>80.5</v>
      </c>
      <c r="AQ66" s="86">
        <v>74.5</v>
      </c>
      <c r="AR66" s="86">
        <f t="shared" si="57"/>
        <v>1849.5</v>
      </c>
      <c r="AS66" s="86">
        <f t="shared" si="58"/>
        <v>1907</v>
      </c>
      <c r="AT66" s="278">
        <f t="shared" si="39"/>
        <v>-57.5</v>
      </c>
      <c r="AU66" s="86">
        <f>Punteggio!T27</f>
        <v>67</v>
      </c>
      <c r="AV66" s="86">
        <v>77.5</v>
      </c>
      <c r="AW66" s="86">
        <f t="shared" si="59"/>
        <v>1857.5</v>
      </c>
      <c r="AX66" s="86">
        <f t="shared" si="60"/>
        <v>1904.5</v>
      </c>
      <c r="AY66" s="278">
        <f t="shared" si="40"/>
        <v>-47</v>
      </c>
    </row>
    <row r="67" spans="1:51" ht="15" x14ac:dyDescent="0.2">
      <c r="A67" s="276">
        <v>26</v>
      </c>
      <c r="B67" s="86">
        <f>Punteggio!B28</f>
        <v>72</v>
      </c>
      <c r="C67" s="86">
        <v>74.5</v>
      </c>
      <c r="D67" s="86">
        <f t="shared" si="41"/>
        <v>1892</v>
      </c>
      <c r="E67" s="86">
        <f t="shared" si="42"/>
        <v>1964</v>
      </c>
      <c r="F67" s="278">
        <f t="shared" si="31"/>
        <v>-72</v>
      </c>
      <c r="G67" s="86">
        <f>Punteggio!D28</f>
        <v>60.5</v>
      </c>
      <c r="H67" s="86">
        <v>81.5</v>
      </c>
      <c r="I67" s="86">
        <f t="shared" si="43"/>
        <v>1908</v>
      </c>
      <c r="J67" s="86">
        <f t="shared" si="44"/>
        <v>1984.5</v>
      </c>
      <c r="K67" s="278">
        <f t="shared" si="32"/>
        <v>-76.5</v>
      </c>
      <c r="L67" s="86">
        <f>Punteggio!F28</f>
        <v>69</v>
      </c>
      <c r="M67" s="86">
        <v>69.5</v>
      </c>
      <c r="N67" s="86">
        <f t="shared" si="45"/>
        <v>1943</v>
      </c>
      <c r="O67" s="86">
        <f t="shared" si="46"/>
        <v>1891.5</v>
      </c>
      <c r="P67" s="278">
        <f t="shared" si="33"/>
        <v>51.5</v>
      </c>
      <c r="Q67" s="86">
        <f>Punteggio!H28</f>
        <v>88</v>
      </c>
      <c r="R67" s="86">
        <v>78.5</v>
      </c>
      <c r="S67" s="86">
        <f t="shared" si="47"/>
        <v>1890.5</v>
      </c>
      <c r="T67" s="86">
        <f t="shared" si="48"/>
        <v>1938</v>
      </c>
      <c r="U67" s="278">
        <f t="shared" si="34"/>
        <v>-47.5</v>
      </c>
      <c r="V67" s="86">
        <f>Punteggio!J28</f>
        <v>74.5</v>
      </c>
      <c r="W67" s="86">
        <v>77</v>
      </c>
      <c r="X67" s="86">
        <f t="shared" si="49"/>
        <v>1959.5</v>
      </c>
      <c r="Y67" s="86">
        <f t="shared" si="50"/>
        <v>1945</v>
      </c>
      <c r="Z67" s="278">
        <f t="shared" si="35"/>
        <v>14.5</v>
      </c>
      <c r="AA67" s="86">
        <f>Punteggio!L28</f>
        <v>74</v>
      </c>
      <c r="AB67" s="86">
        <v>72.5</v>
      </c>
      <c r="AC67" s="86">
        <f t="shared" si="51"/>
        <v>1898</v>
      </c>
      <c r="AD67" s="86">
        <f t="shared" si="52"/>
        <v>1927.5</v>
      </c>
      <c r="AE67" s="278">
        <f t="shared" si="36"/>
        <v>-29.5</v>
      </c>
      <c r="AF67" s="86">
        <f>Punteggio!N28</f>
        <v>73</v>
      </c>
      <c r="AG67" s="86">
        <v>73</v>
      </c>
      <c r="AH67" s="86">
        <f t="shared" si="53"/>
        <v>1908.5</v>
      </c>
      <c r="AI67" s="86">
        <f t="shared" si="54"/>
        <v>1898.5</v>
      </c>
      <c r="AJ67" s="278">
        <f t="shared" si="37"/>
        <v>10</v>
      </c>
      <c r="AK67" s="86">
        <f>Punteggio!P28</f>
        <v>67</v>
      </c>
      <c r="AL67" s="86">
        <v>67</v>
      </c>
      <c r="AM67" s="86">
        <f t="shared" si="55"/>
        <v>1885.5</v>
      </c>
      <c r="AN67" s="86">
        <f t="shared" si="56"/>
        <v>1971.5</v>
      </c>
      <c r="AO67" s="278">
        <f t="shared" si="38"/>
        <v>-86</v>
      </c>
      <c r="AP67" s="86">
        <f>Punteggio!R28</f>
        <v>79.5</v>
      </c>
      <c r="AQ67" s="86">
        <v>77.5</v>
      </c>
      <c r="AR67" s="86">
        <f t="shared" si="57"/>
        <v>1929</v>
      </c>
      <c r="AS67" s="86">
        <f t="shared" si="58"/>
        <v>1984.5</v>
      </c>
      <c r="AT67" s="278">
        <f t="shared" si="39"/>
        <v>-55.5</v>
      </c>
      <c r="AU67" s="86">
        <f>Punteggio!T28</f>
        <v>74.5</v>
      </c>
      <c r="AV67" s="86">
        <v>69</v>
      </c>
      <c r="AW67" s="86">
        <f t="shared" si="59"/>
        <v>1932</v>
      </c>
      <c r="AX67" s="86">
        <f t="shared" si="60"/>
        <v>1973.5</v>
      </c>
      <c r="AY67" s="278">
        <f t="shared" si="40"/>
        <v>-41.5</v>
      </c>
    </row>
    <row r="68" spans="1:51" ht="15" x14ac:dyDescent="0.2">
      <c r="A68" s="276">
        <v>27</v>
      </c>
      <c r="B68" s="86">
        <f>Punteggio!B29</f>
        <v>70</v>
      </c>
      <c r="C68" s="86">
        <v>70.5</v>
      </c>
      <c r="D68" s="86">
        <f t="shared" si="41"/>
        <v>1962</v>
      </c>
      <c r="E68" s="86">
        <f t="shared" si="42"/>
        <v>2034.5</v>
      </c>
      <c r="F68" s="278">
        <f t="shared" si="31"/>
        <v>-72.5</v>
      </c>
      <c r="G68" s="86">
        <f>Punteggio!D29</f>
        <v>82</v>
      </c>
      <c r="H68" s="86">
        <v>76.5</v>
      </c>
      <c r="I68" s="86">
        <f t="shared" si="43"/>
        <v>1990</v>
      </c>
      <c r="J68" s="86">
        <f t="shared" si="44"/>
        <v>2061</v>
      </c>
      <c r="K68" s="278">
        <f t="shared" si="32"/>
        <v>-71</v>
      </c>
      <c r="L68" s="86">
        <f>Punteggio!F29</f>
        <v>74.5</v>
      </c>
      <c r="M68" s="86">
        <v>63.5</v>
      </c>
      <c r="N68" s="86">
        <f t="shared" si="45"/>
        <v>2017.5</v>
      </c>
      <c r="O68" s="86">
        <f t="shared" si="46"/>
        <v>1955</v>
      </c>
      <c r="P68" s="278">
        <f t="shared" si="33"/>
        <v>62.5</v>
      </c>
      <c r="Q68" s="86">
        <f>Punteggio!H29</f>
        <v>61.5</v>
      </c>
      <c r="R68" s="86">
        <v>74.5</v>
      </c>
      <c r="S68" s="86">
        <f t="shared" si="47"/>
        <v>1952</v>
      </c>
      <c r="T68" s="86">
        <f t="shared" si="48"/>
        <v>2012.5</v>
      </c>
      <c r="U68" s="278">
        <f t="shared" si="34"/>
        <v>-60.5</v>
      </c>
      <c r="V68" s="86">
        <f>Punteggio!J29</f>
        <v>67.5</v>
      </c>
      <c r="W68" s="86">
        <v>81.5</v>
      </c>
      <c r="X68" s="86">
        <f t="shared" si="49"/>
        <v>2027</v>
      </c>
      <c r="Y68" s="86">
        <f t="shared" si="50"/>
        <v>2026.5</v>
      </c>
      <c r="Z68" s="278">
        <f t="shared" si="35"/>
        <v>0.5</v>
      </c>
      <c r="AA68" s="86">
        <f>Punteggio!L29</f>
        <v>80</v>
      </c>
      <c r="AB68" s="86">
        <v>69</v>
      </c>
      <c r="AC68" s="86">
        <f t="shared" si="51"/>
        <v>1978</v>
      </c>
      <c r="AD68" s="86">
        <f t="shared" si="52"/>
        <v>1996.5</v>
      </c>
      <c r="AE68" s="278">
        <f t="shared" si="36"/>
        <v>-18.5</v>
      </c>
      <c r="AF68" s="86">
        <f>Punteggio!N29</f>
        <v>83.5</v>
      </c>
      <c r="AG68" s="86">
        <v>65</v>
      </c>
      <c r="AH68" s="86">
        <f t="shared" si="53"/>
        <v>1992</v>
      </c>
      <c r="AI68" s="86">
        <f t="shared" si="54"/>
        <v>1963.5</v>
      </c>
      <c r="AJ68" s="278">
        <f t="shared" si="37"/>
        <v>28.5</v>
      </c>
      <c r="AK68" s="86">
        <f>Punteggio!P29</f>
        <v>71</v>
      </c>
      <c r="AL68" s="86">
        <v>73</v>
      </c>
      <c r="AM68" s="86">
        <f t="shared" si="55"/>
        <v>1956.5</v>
      </c>
      <c r="AN68" s="86">
        <f t="shared" si="56"/>
        <v>2044.5</v>
      </c>
      <c r="AO68" s="278">
        <f t="shared" si="38"/>
        <v>-88</v>
      </c>
      <c r="AP68" s="86">
        <f>Punteggio!R29</f>
        <v>67.5</v>
      </c>
      <c r="AQ68" s="86">
        <v>72.5</v>
      </c>
      <c r="AR68" s="86">
        <f t="shared" si="57"/>
        <v>1996.5</v>
      </c>
      <c r="AS68" s="86">
        <f t="shared" si="58"/>
        <v>2057</v>
      </c>
      <c r="AT68" s="278">
        <f t="shared" si="39"/>
        <v>-60.5</v>
      </c>
      <c r="AU68" s="86">
        <f>Punteggio!T29</f>
        <v>76</v>
      </c>
      <c r="AV68" s="86">
        <v>59</v>
      </c>
      <c r="AW68" s="86">
        <f t="shared" si="59"/>
        <v>2008</v>
      </c>
      <c r="AX68" s="86">
        <f t="shared" si="60"/>
        <v>2032.5</v>
      </c>
      <c r="AY68" s="278">
        <f t="shared" si="40"/>
        <v>-24.5</v>
      </c>
    </row>
    <row r="69" spans="1:51" ht="15" x14ac:dyDescent="0.2">
      <c r="A69" s="276">
        <v>28</v>
      </c>
      <c r="B69" s="86">
        <f>Punteggio!B30</f>
        <v>71.5</v>
      </c>
      <c r="C69" s="86">
        <v>70</v>
      </c>
      <c r="D69" s="86">
        <f t="shared" si="41"/>
        <v>2033.5</v>
      </c>
      <c r="E69" s="86">
        <f t="shared" si="42"/>
        <v>2104.5</v>
      </c>
      <c r="F69" s="278">
        <f t="shared" si="31"/>
        <v>-71</v>
      </c>
      <c r="G69" s="86">
        <f>Punteggio!D30</f>
        <v>86.5</v>
      </c>
      <c r="H69" s="86">
        <v>67</v>
      </c>
      <c r="I69" s="86">
        <f t="shared" si="43"/>
        <v>2076.5</v>
      </c>
      <c r="J69" s="86">
        <f t="shared" si="44"/>
        <v>2128</v>
      </c>
      <c r="K69" s="278">
        <f t="shared" si="32"/>
        <v>-51.5</v>
      </c>
      <c r="L69" s="86">
        <f>Punteggio!F30</f>
        <v>68</v>
      </c>
      <c r="M69" s="86">
        <v>71</v>
      </c>
      <c r="N69" s="86">
        <f t="shared" si="45"/>
        <v>2085.5</v>
      </c>
      <c r="O69" s="86">
        <f t="shared" si="46"/>
        <v>2026</v>
      </c>
      <c r="P69" s="278">
        <f t="shared" si="33"/>
        <v>59.5</v>
      </c>
      <c r="Q69" s="86">
        <f>Punteggio!H30</f>
        <v>71</v>
      </c>
      <c r="R69" s="86">
        <v>69.5</v>
      </c>
      <c r="S69" s="86">
        <f t="shared" si="47"/>
        <v>2023</v>
      </c>
      <c r="T69" s="86">
        <f t="shared" si="48"/>
        <v>2082</v>
      </c>
      <c r="U69" s="278">
        <f t="shared" si="34"/>
        <v>-59</v>
      </c>
      <c r="V69" s="86">
        <f>Punteggio!J30</f>
        <v>80.5</v>
      </c>
      <c r="W69" s="86">
        <v>76</v>
      </c>
      <c r="X69" s="86">
        <f t="shared" si="49"/>
        <v>2107.5</v>
      </c>
      <c r="Y69" s="86">
        <f t="shared" si="50"/>
        <v>2102.5</v>
      </c>
      <c r="Z69" s="278">
        <f t="shared" si="35"/>
        <v>5</v>
      </c>
      <c r="AA69" s="86">
        <f>Punteggio!L30</f>
        <v>69</v>
      </c>
      <c r="AB69" s="86">
        <v>68.5</v>
      </c>
      <c r="AC69" s="86">
        <f t="shared" si="51"/>
        <v>2047</v>
      </c>
      <c r="AD69" s="86">
        <f t="shared" si="52"/>
        <v>2065</v>
      </c>
      <c r="AE69" s="278">
        <f t="shared" si="36"/>
        <v>-18</v>
      </c>
      <c r="AF69" s="86">
        <f>Punteggio!N30</f>
        <v>79.5</v>
      </c>
      <c r="AG69" s="86">
        <v>75.5</v>
      </c>
      <c r="AH69" s="86">
        <f t="shared" si="53"/>
        <v>2071.5</v>
      </c>
      <c r="AI69" s="86">
        <f t="shared" si="54"/>
        <v>2039</v>
      </c>
      <c r="AJ69" s="278">
        <f t="shared" si="37"/>
        <v>32.5</v>
      </c>
      <c r="AK69" s="86">
        <f>Punteggio!P30</f>
        <v>81</v>
      </c>
      <c r="AL69" s="86">
        <v>63</v>
      </c>
      <c r="AM69" s="86">
        <f t="shared" si="55"/>
        <v>2037.5</v>
      </c>
      <c r="AN69" s="86">
        <f t="shared" si="56"/>
        <v>2107.5</v>
      </c>
      <c r="AO69" s="278">
        <f t="shared" si="38"/>
        <v>-70</v>
      </c>
      <c r="AP69" s="86">
        <f>Punteggio!R30</f>
        <v>77</v>
      </c>
      <c r="AQ69" s="86">
        <v>77.5</v>
      </c>
      <c r="AR69" s="86">
        <f t="shared" si="57"/>
        <v>2073.5</v>
      </c>
      <c r="AS69" s="86">
        <f t="shared" si="58"/>
        <v>2134.5</v>
      </c>
      <c r="AT69" s="278">
        <f t="shared" si="39"/>
        <v>-61</v>
      </c>
      <c r="AU69" s="86">
        <f>Punteggio!T30</f>
        <v>70</v>
      </c>
      <c r="AV69" s="86">
        <v>70.5</v>
      </c>
      <c r="AW69" s="86">
        <f t="shared" si="59"/>
        <v>2078</v>
      </c>
      <c r="AX69" s="86">
        <f t="shared" si="60"/>
        <v>2103</v>
      </c>
      <c r="AY69" s="278">
        <f t="shared" si="40"/>
        <v>-25</v>
      </c>
    </row>
    <row r="70" spans="1:51" ht="15" x14ac:dyDescent="0.2">
      <c r="A70" s="276">
        <v>29</v>
      </c>
      <c r="B70" s="86">
        <f>Punteggio!B31</f>
        <v>73</v>
      </c>
      <c r="C70" s="86">
        <v>87</v>
      </c>
      <c r="D70" s="86">
        <f t="shared" si="41"/>
        <v>2106.5</v>
      </c>
      <c r="E70" s="86">
        <f t="shared" si="42"/>
        <v>2191.5</v>
      </c>
      <c r="F70" s="278">
        <f t="shared" si="31"/>
        <v>-85</v>
      </c>
      <c r="G70" s="86">
        <f>Punteggio!D31</f>
        <v>81.5</v>
      </c>
      <c r="H70" s="86">
        <v>72</v>
      </c>
      <c r="I70" s="86">
        <f t="shared" si="43"/>
        <v>2158</v>
      </c>
      <c r="J70" s="86">
        <f t="shared" si="44"/>
        <v>2200</v>
      </c>
      <c r="K70" s="278">
        <f t="shared" si="32"/>
        <v>-42</v>
      </c>
      <c r="L70" s="86">
        <f>Punteggio!F31</f>
        <v>76.5</v>
      </c>
      <c r="M70" s="86">
        <v>72</v>
      </c>
      <c r="N70" s="86">
        <f t="shared" si="45"/>
        <v>2162</v>
      </c>
      <c r="O70" s="86">
        <f t="shared" si="46"/>
        <v>2098</v>
      </c>
      <c r="P70" s="278">
        <f t="shared" si="33"/>
        <v>64</v>
      </c>
      <c r="Q70" s="86">
        <f>Punteggio!H31</f>
        <v>78.5</v>
      </c>
      <c r="R70" s="86">
        <v>75.5</v>
      </c>
      <c r="S70" s="86">
        <f t="shared" si="47"/>
        <v>2101.5</v>
      </c>
      <c r="T70" s="86">
        <f t="shared" si="48"/>
        <v>2157.5</v>
      </c>
      <c r="U70" s="278">
        <f t="shared" si="34"/>
        <v>-56</v>
      </c>
      <c r="V70" s="86">
        <f>Punteggio!J31</f>
        <v>88.5</v>
      </c>
      <c r="W70" s="86">
        <v>71</v>
      </c>
      <c r="X70" s="86">
        <f t="shared" si="49"/>
        <v>2196</v>
      </c>
      <c r="Y70" s="86">
        <f t="shared" si="50"/>
        <v>2173.5</v>
      </c>
      <c r="Z70" s="278">
        <f t="shared" si="35"/>
        <v>22.5</v>
      </c>
      <c r="AA70" s="86">
        <f>Punteggio!L31</f>
        <v>68</v>
      </c>
      <c r="AB70" s="86">
        <v>71</v>
      </c>
      <c r="AC70" s="86">
        <f t="shared" si="51"/>
        <v>2115</v>
      </c>
      <c r="AD70" s="86">
        <f t="shared" si="52"/>
        <v>2136</v>
      </c>
      <c r="AE70" s="278">
        <f t="shared" si="36"/>
        <v>-21</v>
      </c>
      <c r="AF70" s="86">
        <f>Punteggio!N31</f>
        <v>74.5</v>
      </c>
      <c r="AG70" s="86">
        <v>86.5</v>
      </c>
      <c r="AH70" s="86">
        <f t="shared" si="53"/>
        <v>2146</v>
      </c>
      <c r="AI70" s="86">
        <f t="shared" si="54"/>
        <v>2125.5</v>
      </c>
      <c r="AJ70" s="278">
        <f t="shared" si="37"/>
        <v>20.5</v>
      </c>
      <c r="AK70" s="86">
        <f>Punteggio!P31</f>
        <v>75.5</v>
      </c>
      <c r="AL70" s="86">
        <v>90.5</v>
      </c>
      <c r="AM70" s="86">
        <f t="shared" si="55"/>
        <v>2113</v>
      </c>
      <c r="AN70" s="86">
        <f t="shared" si="56"/>
        <v>2198</v>
      </c>
      <c r="AO70" s="278">
        <f t="shared" si="38"/>
        <v>-85</v>
      </c>
      <c r="AP70" s="86">
        <f>Punteggio!R31</f>
        <v>61</v>
      </c>
      <c r="AQ70" s="86">
        <v>69.5</v>
      </c>
      <c r="AR70" s="86">
        <f t="shared" si="57"/>
        <v>2134.5</v>
      </c>
      <c r="AS70" s="86">
        <f t="shared" si="58"/>
        <v>2204</v>
      </c>
      <c r="AT70" s="278">
        <f t="shared" si="39"/>
        <v>-69.5</v>
      </c>
      <c r="AU70" s="86">
        <f>Punteggio!T31</f>
        <v>87</v>
      </c>
      <c r="AV70" s="86">
        <v>81</v>
      </c>
      <c r="AW70" s="86">
        <f t="shared" si="59"/>
        <v>2165</v>
      </c>
      <c r="AX70" s="86">
        <f t="shared" si="60"/>
        <v>2184</v>
      </c>
      <c r="AY70" s="278">
        <f t="shared" si="40"/>
        <v>-19</v>
      </c>
    </row>
    <row r="71" spans="1:51" ht="15" x14ac:dyDescent="0.2">
      <c r="A71" s="276">
        <v>30</v>
      </c>
      <c r="B71" s="86">
        <f>Punteggio!B32</f>
        <v>67.5</v>
      </c>
      <c r="C71" s="86">
        <v>84.5</v>
      </c>
      <c r="D71" s="86">
        <f t="shared" si="41"/>
        <v>2174</v>
      </c>
      <c r="E71" s="86">
        <f t="shared" si="42"/>
        <v>2276</v>
      </c>
      <c r="F71" s="278">
        <f t="shared" si="31"/>
        <v>-102</v>
      </c>
      <c r="G71" s="86">
        <f>Punteggio!D32</f>
        <v>74.5</v>
      </c>
      <c r="H71" s="86">
        <v>73.5</v>
      </c>
      <c r="I71" s="86">
        <f t="shared" si="43"/>
        <v>2232.5</v>
      </c>
      <c r="J71" s="86">
        <f t="shared" si="44"/>
        <v>2273.5</v>
      </c>
      <c r="K71" s="278">
        <f t="shared" si="32"/>
        <v>-41</v>
      </c>
      <c r="L71" s="86">
        <f>Punteggio!F32</f>
        <v>74</v>
      </c>
      <c r="M71" s="86">
        <v>72</v>
      </c>
      <c r="N71" s="86">
        <f t="shared" si="45"/>
        <v>2236</v>
      </c>
      <c r="O71" s="86">
        <f t="shared" si="46"/>
        <v>2170</v>
      </c>
      <c r="P71" s="278">
        <f t="shared" si="33"/>
        <v>66</v>
      </c>
      <c r="Q71" s="86">
        <f>Punteggio!H32</f>
        <v>79.5</v>
      </c>
      <c r="R71" s="86">
        <v>73.5</v>
      </c>
      <c r="S71" s="86">
        <f t="shared" si="47"/>
        <v>2181</v>
      </c>
      <c r="T71" s="86">
        <f t="shared" si="48"/>
        <v>2231</v>
      </c>
      <c r="U71" s="278">
        <f t="shared" si="34"/>
        <v>-50</v>
      </c>
      <c r="V71" s="86">
        <f>Punteggio!J32</f>
        <v>72.5</v>
      </c>
      <c r="W71" s="86">
        <v>69.5</v>
      </c>
      <c r="X71" s="86">
        <f t="shared" si="49"/>
        <v>2268.5</v>
      </c>
      <c r="Y71" s="86">
        <f t="shared" si="50"/>
        <v>2243</v>
      </c>
      <c r="Z71" s="278">
        <f t="shared" si="35"/>
        <v>25.5</v>
      </c>
      <c r="AA71" s="86">
        <f>Punteggio!L32</f>
        <v>75</v>
      </c>
      <c r="AB71" s="86">
        <v>57</v>
      </c>
      <c r="AC71" s="86">
        <f t="shared" si="51"/>
        <v>2190</v>
      </c>
      <c r="AD71" s="86">
        <f t="shared" si="52"/>
        <v>2193</v>
      </c>
      <c r="AE71" s="278">
        <f t="shared" si="36"/>
        <v>-3</v>
      </c>
      <c r="AF71" s="86">
        <f>Punteggio!N32</f>
        <v>66</v>
      </c>
      <c r="AG71" s="86">
        <v>70</v>
      </c>
      <c r="AH71" s="86">
        <f t="shared" si="53"/>
        <v>2212</v>
      </c>
      <c r="AI71" s="86">
        <f t="shared" si="54"/>
        <v>2195.5</v>
      </c>
      <c r="AJ71" s="278">
        <f t="shared" si="37"/>
        <v>16.5</v>
      </c>
      <c r="AK71" s="86">
        <f>Punteggio!P32</f>
        <v>88</v>
      </c>
      <c r="AL71" s="86">
        <v>80.5</v>
      </c>
      <c r="AM71" s="86">
        <f t="shared" si="55"/>
        <v>2201</v>
      </c>
      <c r="AN71" s="86">
        <f t="shared" si="56"/>
        <v>2278.5</v>
      </c>
      <c r="AO71" s="278">
        <f t="shared" si="38"/>
        <v>-77.5</v>
      </c>
      <c r="AP71" s="86">
        <f>Punteggio!R32</f>
        <v>67.5</v>
      </c>
      <c r="AQ71" s="86">
        <v>69</v>
      </c>
      <c r="AR71" s="86">
        <f t="shared" si="57"/>
        <v>2202</v>
      </c>
      <c r="AS71" s="86">
        <f t="shared" si="58"/>
        <v>2273</v>
      </c>
      <c r="AT71" s="278">
        <f t="shared" si="39"/>
        <v>-71</v>
      </c>
      <c r="AU71" s="86">
        <f>Punteggio!T32</f>
        <v>72.5</v>
      </c>
      <c r="AV71" s="86">
        <v>76.5</v>
      </c>
      <c r="AW71" s="86">
        <f t="shared" si="59"/>
        <v>2237.5</v>
      </c>
      <c r="AX71" s="86">
        <f t="shared" si="60"/>
        <v>2260.5</v>
      </c>
      <c r="AY71" s="278">
        <f t="shared" si="40"/>
        <v>-23</v>
      </c>
    </row>
    <row r="72" spans="1:51" ht="15" x14ac:dyDescent="0.2">
      <c r="A72" s="276">
        <v>31</v>
      </c>
      <c r="B72" s="86">
        <f>Punteggio!B33</f>
        <v>61.5</v>
      </c>
      <c r="C72" s="86">
        <v>68</v>
      </c>
      <c r="D72" s="86">
        <f t="shared" si="41"/>
        <v>2235.5</v>
      </c>
      <c r="E72" s="86">
        <f t="shared" si="42"/>
        <v>2344</v>
      </c>
      <c r="F72" s="278">
        <f t="shared" si="31"/>
        <v>-108.5</v>
      </c>
      <c r="G72" s="86">
        <f>Punteggio!D33</f>
        <v>78</v>
      </c>
      <c r="H72" s="86">
        <v>70</v>
      </c>
      <c r="I72" s="86">
        <f t="shared" si="43"/>
        <v>2310.5</v>
      </c>
      <c r="J72" s="86">
        <f t="shared" si="44"/>
        <v>2343.5</v>
      </c>
      <c r="K72" s="278">
        <f t="shared" si="32"/>
        <v>-33</v>
      </c>
      <c r="L72" s="86">
        <f>Punteggio!F33</f>
        <v>84</v>
      </c>
      <c r="M72" s="86">
        <v>69.5</v>
      </c>
      <c r="N72" s="86">
        <f t="shared" si="45"/>
        <v>2320</v>
      </c>
      <c r="O72" s="86">
        <f t="shared" si="46"/>
        <v>2239.5</v>
      </c>
      <c r="P72" s="278">
        <f t="shared" si="33"/>
        <v>80.5</v>
      </c>
      <c r="Q72" s="86">
        <f>Punteggio!H33</f>
        <v>74</v>
      </c>
      <c r="R72" s="86">
        <v>68.5</v>
      </c>
      <c r="S72" s="86">
        <f t="shared" si="47"/>
        <v>2255</v>
      </c>
      <c r="T72" s="86">
        <f t="shared" si="48"/>
        <v>2299.5</v>
      </c>
      <c r="U72" s="278">
        <f t="shared" si="34"/>
        <v>-44.5</v>
      </c>
      <c r="V72" s="86">
        <f>Punteggio!J33</f>
        <v>84</v>
      </c>
      <c r="W72" s="86">
        <v>61.5</v>
      </c>
      <c r="X72" s="86">
        <f t="shared" si="49"/>
        <v>2352.5</v>
      </c>
      <c r="Y72" s="86">
        <f t="shared" si="50"/>
        <v>2304.5</v>
      </c>
      <c r="Z72" s="278">
        <f t="shared" si="35"/>
        <v>48</v>
      </c>
      <c r="AA72" s="86">
        <f>Punteggio!L33</f>
        <v>77</v>
      </c>
      <c r="AB72" s="86">
        <v>93</v>
      </c>
      <c r="AC72" s="86">
        <f t="shared" si="51"/>
        <v>2267</v>
      </c>
      <c r="AD72" s="86">
        <f t="shared" si="52"/>
        <v>2286</v>
      </c>
      <c r="AE72" s="278">
        <f t="shared" si="36"/>
        <v>-19</v>
      </c>
      <c r="AF72" s="86">
        <f>Punteggio!N33</f>
        <v>72</v>
      </c>
      <c r="AG72" s="86">
        <v>69</v>
      </c>
      <c r="AH72" s="86">
        <f t="shared" si="53"/>
        <v>2284</v>
      </c>
      <c r="AI72" s="86">
        <f t="shared" si="54"/>
        <v>2264.5</v>
      </c>
      <c r="AJ72" s="278">
        <f t="shared" si="37"/>
        <v>19.5</v>
      </c>
      <c r="AK72" s="86">
        <f>Punteggio!P33</f>
        <v>81</v>
      </c>
      <c r="AL72" s="86">
        <v>82.5</v>
      </c>
      <c r="AM72" s="86">
        <f t="shared" si="55"/>
        <v>2282</v>
      </c>
      <c r="AN72" s="86">
        <f t="shared" si="56"/>
        <v>2361</v>
      </c>
      <c r="AO72" s="278">
        <f t="shared" si="38"/>
        <v>-79</v>
      </c>
      <c r="AP72" s="86">
        <f>Punteggio!R33</f>
        <v>69</v>
      </c>
      <c r="AQ72" s="86">
        <v>77.5</v>
      </c>
      <c r="AR72" s="86">
        <f t="shared" si="57"/>
        <v>2271</v>
      </c>
      <c r="AS72" s="86">
        <f t="shared" si="58"/>
        <v>2350.5</v>
      </c>
      <c r="AT72" s="278">
        <f t="shared" si="39"/>
        <v>-79.5</v>
      </c>
      <c r="AU72" s="86">
        <f>Punteggio!T33</f>
        <v>67.5</v>
      </c>
      <c r="AV72" s="86">
        <v>84.5</v>
      </c>
      <c r="AW72" s="86">
        <f t="shared" si="59"/>
        <v>2305</v>
      </c>
      <c r="AX72" s="86">
        <f t="shared" si="60"/>
        <v>2345</v>
      </c>
      <c r="AY72" s="278">
        <f t="shared" si="40"/>
        <v>-40</v>
      </c>
    </row>
    <row r="73" spans="1:51" ht="15" x14ac:dyDescent="0.2">
      <c r="A73" s="276">
        <v>32</v>
      </c>
      <c r="B73" s="86">
        <f>Punteggio!B34</f>
        <v>70</v>
      </c>
      <c r="C73" s="86">
        <v>70</v>
      </c>
      <c r="D73" s="86">
        <f t="shared" si="41"/>
        <v>2305.5</v>
      </c>
      <c r="E73" s="86">
        <f t="shared" si="42"/>
        <v>2414</v>
      </c>
      <c r="F73" s="278">
        <f t="shared" si="31"/>
        <v>-108.5</v>
      </c>
      <c r="G73" s="86">
        <f>Punteggio!D34</f>
        <v>73</v>
      </c>
      <c r="H73" s="86">
        <v>74.5</v>
      </c>
      <c r="I73" s="86">
        <f t="shared" si="43"/>
        <v>2383.5</v>
      </c>
      <c r="J73" s="86">
        <f t="shared" si="44"/>
        <v>2418</v>
      </c>
      <c r="K73" s="278">
        <f t="shared" si="32"/>
        <v>-34.5</v>
      </c>
      <c r="L73" s="86">
        <f>Punteggio!F34</f>
        <v>76.5</v>
      </c>
      <c r="M73" s="86">
        <v>75</v>
      </c>
      <c r="N73" s="86">
        <f t="shared" si="45"/>
        <v>2396.5</v>
      </c>
      <c r="O73" s="86">
        <f t="shared" si="46"/>
        <v>2314.5</v>
      </c>
      <c r="P73" s="278">
        <f t="shared" si="33"/>
        <v>82</v>
      </c>
      <c r="Q73" s="86">
        <f>Punteggio!H34</f>
        <v>65</v>
      </c>
      <c r="R73" s="86">
        <v>69.5</v>
      </c>
      <c r="S73" s="86">
        <f t="shared" si="47"/>
        <v>2320</v>
      </c>
      <c r="T73" s="86">
        <f t="shared" si="48"/>
        <v>2369</v>
      </c>
      <c r="U73" s="278">
        <f t="shared" si="34"/>
        <v>-49</v>
      </c>
      <c r="V73" s="86">
        <f>Punteggio!J34</f>
        <v>83.5</v>
      </c>
      <c r="W73" s="86">
        <v>67.5</v>
      </c>
      <c r="X73" s="86">
        <f t="shared" si="49"/>
        <v>2436</v>
      </c>
      <c r="Y73" s="86">
        <f t="shared" si="50"/>
        <v>2372</v>
      </c>
      <c r="Z73" s="278">
        <f t="shared" si="35"/>
        <v>64</v>
      </c>
      <c r="AA73" s="86">
        <f>Punteggio!L34</f>
        <v>65.5</v>
      </c>
      <c r="AB73" s="86">
        <v>62.5</v>
      </c>
      <c r="AC73" s="86">
        <f t="shared" si="51"/>
        <v>2332.5</v>
      </c>
      <c r="AD73" s="86">
        <f t="shared" si="52"/>
        <v>2348.5</v>
      </c>
      <c r="AE73" s="278">
        <f t="shared" si="36"/>
        <v>-16</v>
      </c>
      <c r="AF73" s="86">
        <f>Punteggio!N34</f>
        <v>85</v>
      </c>
      <c r="AG73" s="86">
        <v>80</v>
      </c>
      <c r="AH73" s="86">
        <f t="shared" si="53"/>
        <v>2369</v>
      </c>
      <c r="AI73" s="86">
        <f t="shared" si="54"/>
        <v>2344.5</v>
      </c>
      <c r="AJ73" s="278">
        <f t="shared" si="37"/>
        <v>24.5</v>
      </c>
      <c r="AK73" s="86">
        <f>Punteggio!P34</f>
        <v>73.5</v>
      </c>
      <c r="AL73" s="86">
        <v>78</v>
      </c>
      <c r="AM73" s="86">
        <f t="shared" si="55"/>
        <v>2355.5</v>
      </c>
      <c r="AN73" s="86">
        <f t="shared" si="56"/>
        <v>2439</v>
      </c>
      <c r="AO73" s="278">
        <f t="shared" si="38"/>
        <v>-83.5</v>
      </c>
      <c r="AP73" s="86">
        <f>Punteggio!R34</f>
        <v>66</v>
      </c>
      <c r="AQ73" s="86">
        <v>71</v>
      </c>
      <c r="AR73" s="86">
        <f t="shared" si="57"/>
        <v>2337</v>
      </c>
      <c r="AS73" s="86">
        <f t="shared" si="58"/>
        <v>2421.5</v>
      </c>
      <c r="AT73" s="278">
        <f t="shared" si="39"/>
        <v>-84.5</v>
      </c>
      <c r="AU73" s="86">
        <f>Punteggio!T34</f>
        <v>76</v>
      </c>
      <c r="AV73" s="86">
        <v>72</v>
      </c>
      <c r="AW73" s="86">
        <f t="shared" si="59"/>
        <v>2381</v>
      </c>
      <c r="AX73" s="86">
        <f t="shared" si="60"/>
        <v>2417</v>
      </c>
      <c r="AY73" s="278">
        <f t="shared" si="40"/>
        <v>-36</v>
      </c>
    </row>
    <row r="74" spans="1:51" ht="15" x14ac:dyDescent="0.2">
      <c r="A74" s="276">
        <v>33</v>
      </c>
      <c r="B74" s="86">
        <f>Punteggio!B35</f>
        <v>69</v>
      </c>
      <c r="C74" s="86">
        <v>66</v>
      </c>
      <c r="D74" s="86">
        <f t="shared" si="41"/>
        <v>2374.5</v>
      </c>
      <c r="E74" s="86">
        <f t="shared" si="42"/>
        <v>2480</v>
      </c>
      <c r="F74" s="278">
        <f t="shared" si="31"/>
        <v>-105.5</v>
      </c>
      <c r="G74" s="86">
        <f>Punteggio!D35</f>
        <v>76</v>
      </c>
      <c r="H74" s="86">
        <v>67.5</v>
      </c>
      <c r="I74" s="86">
        <f t="shared" si="43"/>
        <v>2459.5</v>
      </c>
      <c r="J74" s="86">
        <f t="shared" si="44"/>
        <v>2485.5</v>
      </c>
      <c r="K74" s="278">
        <f t="shared" si="32"/>
        <v>-26</v>
      </c>
      <c r="L74" s="86">
        <f>Punteggio!F35</f>
        <v>76.5</v>
      </c>
      <c r="M74" s="86">
        <v>67.5</v>
      </c>
      <c r="N74" s="86">
        <f t="shared" si="45"/>
        <v>2473</v>
      </c>
      <c r="O74" s="86">
        <f t="shared" si="46"/>
        <v>2382</v>
      </c>
      <c r="P74" s="278">
        <f t="shared" si="33"/>
        <v>91</v>
      </c>
      <c r="Q74" s="86">
        <f>Punteggio!H35</f>
        <v>73.5</v>
      </c>
      <c r="R74" s="86">
        <v>71</v>
      </c>
      <c r="S74" s="86">
        <f t="shared" si="47"/>
        <v>2393.5</v>
      </c>
      <c r="T74" s="86">
        <f t="shared" si="48"/>
        <v>2440</v>
      </c>
      <c r="U74" s="278">
        <f t="shared" si="34"/>
        <v>-46.5</v>
      </c>
      <c r="V74" s="86">
        <f>Punteggio!J35</f>
        <v>80</v>
      </c>
      <c r="W74" s="86">
        <v>74</v>
      </c>
      <c r="X74" s="86">
        <f t="shared" si="49"/>
        <v>2516</v>
      </c>
      <c r="Y74" s="86">
        <f t="shared" si="50"/>
        <v>2446</v>
      </c>
      <c r="Z74" s="278">
        <f t="shared" si="35"/>
        <v>70</v>
      </c>
      <c r="AA74" s="86">
        <f>Punteggio!L35</f>
        <v>71</v>
      </c>
      <c r="AB74" s="86">
        <v>81</v>
      </c>
      <c r="AC74" s="86">
        <f t="shared" si="51"/>
        <v>2403.5</v>
      </c>
      <c r="AD74" s="86">
        <f t="shared" si="52"/>
        <v>2429.5</v>
      </c>
      <c r="AE74" s="278">
        <f t="shared" si="36"/>
        <v>-26</v>
      </c>
      <c r="AF74" s="86">
        <f>Punteggio!N35</f>
        <v>81</v>
      </c>
      <c r="AG74" s="86">
        <v>75.5</v>
      </c>
      <c r="AH74" s="86">
        <f t="shared" si="53"/>
        <v>2450</v>
      </c>
      <c r="AI74" s="86">
        <f t="shared" si="54"/>
        <v>2420</v>
      </c>
      <c r="AJ74" s="278">
        <f t="shared" si="37"/>
        <v>30</v>
      </c>
      <c r="AK74" s="86">
        <f>Punteggio!P35</f>
        <v>78.5</v>
      </c>
      <c r="AL74" s="86">
        <v>86.5</v>
      </c>
      <c r="AM74" s="86">
        <f t="shared" si="55"/>
        <v>2434</v>
      </c>
      <c r="AN74" s="86">
        <f t="shared" si="56"/>
        <v>2525.5</v>
      </c>
      <c r="AO74" s="278">
        <f t="shared" si="38"/>
        <v>-91.5</v>
      </c>
      <c r="AP74" s="86">
        <f>Punteggio!R35</f>
        <v>61</v>
      </c>
      <c r="AQ74" s="86">
        <v>67</v>
      </c>
      <c r="AR74" s="86">
        <f t="shared" si="57"/>
        <v>2398</v>
      </c>
      <c r="AS74" s="86">
        <f t="shared" si="58"/>
        <v>2488.5</v>
      </c>
      <c r="AT74" s="278">
        <f t="shared" si="39"/>
        <v>-90.5</v>
      </c>
      <c r="AU74" s="86">
        <f>Punteggio!T35</f>
        <v>74</v>
      </c>
      <c r="AV74" s="86">
        <v>74</v>
      </c>
      <c r="AW74" s="86">
        <f t="shared" si="59"/>
        <v>2455</v>
      </c>
      <c r="AX74" s="86">
        <f t="shared" si="60"/>
        <v>2491</v>
      </c>
      <c r="AY74" s="278">
        <f t="shared" si="40"/>
        <v>-36</v>
      </c>
    </row>
    <row r="75" spans="1:51" ht="15" x14ac:dyDescent="0.2">
      <c r="A75" s="276">
        <v>34</v>
      </c>
      <c r="B75" s="86">
        <f>Punteggio!B36</f>
        <v>68.5</v>
      </c>
      <c r="C75" s="86">
        <v>75.5</v>
      </c>
      <c r="D75" s="86">
        <f t="shared" si="41"/>
        <v>2443</v>
      </c>
      <c r="E75" s="86">
        <f t="shared" si="42"/>
        <v>2555.5</v>
      </c>
      <c r="F75" s="278">
        <f t="shared" si="31"/>
        <v>-112.5</v>
      </c>
      <c r="G75" s="86">
        <f>Punteggio!D36</f>
        <v>83</v>
      </c>
      <c r="H75" s="86">
        <v>82</v>
      </c>
      <c r="I75" s="86">
        <f t="shared" si="43"/>
        <v>2542.5</v>
      </c>
      <c r="J75" s="86">
        <f t="shared" si="44"/>
        <v>2567.5</v>
      </c>
      <c r="K75" s="278">
        <f t="shared" si="32"/>
        <v>-25</v>
      </c>
      <c r="L75" s="86">
        <f>Punteggio!F36</f>
        <v>78.5</v>
      </c>
      <c r="M75" s="86">
        <v>68.5</v>
      </c>
      <c r="N75" s="86">
        <f t="shared" si="45"/>
        <v>2551.5</v>
      </c>
      <c r="O75" s="86">
        <f t="shared" si="46"/>
        <v>2450.5</v>
      </c>
      <c r="P75" s="278">
        <f t="shared" si="33"/>
        <v>101</v>
      </c>
      <c r="Q75" s="86">
        <f>Punteggio!H36</f>
        <v>57</v>
      </c>
      <c r="R75" s="86">
        <v>63</v>
      </c>
      <c r="S75" s="86">
        <f t="shared" si="47"/>
        <v>2450.5</v>
      </c>
      <c r="T75" s="86">
        <f t="shared" si="48"/>
        <v>2503</v>
      </c>
      <c r="U75" s="278">
        <f t="shared" si="34"/>
        <v>-52.5</v>
      </c>
      <c r="V75" s="86">
        <f>Punteggio!J36</f>
        <v>68</v>
      </c>
      <c r="W75" s="86">
        <v>80.5</v>
      </c>
      <c r="X75" s="86">
        <f t="shared" si="49"/>
        <v>2584</v>
      </c>
      <c r="Y75" s="86">
        <f t="shared" si="50"/>
        <v>2526.5</v>
      </c>
      <c r="Z75" s="278">
        <f t="shared" si="35"/>
        <v>57.5</v>
      </c>
      <c r="AA75" s="86">
        <f>Punteggio!L36</f>
        <v>73</v>
      </c>
      <c r="AB75" s="86">
        <v>82.5</v>
      </c>
      <c r="AC75" s="86">
        <f t="shared" si="51"/>
        <v>2476.5</v>
      </c>
      <c r="AD75" s="86">
        <f t="shared" si="52"/>
        <v>2512</v>
      </c>
      <c r="AE75" s="278">
        <f t="shared" si="36"/>
        <v>-35.5</v>
      </c>
      <c r="AF75" s="86">
        <f>Punteggio!N36</f>
        <v>61.5</v>
      </c>
      <c r="AG75" s="86">
        <v>72</v>
      </c>
      <c r="AH75" s="86">
        <f t="shared" si="53"/>
        <v>2511.5</v>
      </c>
      <c r="AI75" s="86">
        <f t="shared" si="54"/>
        <v>2492</v>
      </c>
      <c r="AJ75" s="278">
        <f t="shared" si="37"/>
        <v>19.5</v>
      </c>
      <c r="AK75" s="86">
        <f>Punteggio!P36</f>
        <v>65.5</v>
      </c>
      <c r="AL75" s="86">
        <v>71.5</v>
      </c>
      <c r="AM75" s="86">
        <f t="shared" si="55"/>
        <v>2499.5</v>
      </c>
      <c r="AN75" s="86">
        <f t="shared" si="56"/>
        <v>2597</v>
      </c>
      <c r="AO75" s="278">
        <f t="shared" si="38"/>
        <v>-97.5</v>
      </c>
      <c r="AP75" s="86">
        <f>Punteggio!R36</f>
        <v>74</v>
      </c>
      <c r="AQ75" s="86">
        <v>80.5</v>
      </c>
      <c r="AR75" s="86">
        <f t="shared" si="57"/>
        <v>2472</v>
      </c>
      <c r="AS75" s="86">
        <f t="shared" si="58"/>
        <v>2569</v>
      </c>
      <c r="AT75" s="278">
        <f t="shared" si="39"/>
        <v>-97</v>
      </c>
      <c r="AU75" s="86">
        <f>Punteggio!T36</f>
        <v>79</v>
      </c>
      <c r="AV75" s="86">
        <v>73</v>
      </c>
      <c r="AW75" s="86">
        <f t="shared" si="59"/>
        <v>2534</v>
      </c>
      <c r="AX75" s="86">
        <f t="shared" si="60"/>
        <v>2564</v>
      </c>
      <c r="AY75" s="278">
        <f t="shared" si="40"/>
        <v>-30</v>
      </c>
    </row>
    <row r="76" spans="1:51" ht="15" x14ac:dyDescent="0.2">
      <c r="A76" s="276">
        <v>35</v>
      </c>
      <c r="B76" s="86">
        <f>Punteggio!B37</f>
        <v>80</v>
      </c>
      <c r="C76" s="86">
        <v>67.5</v>
      </c>
      <c r="D76" s="86">
        <f t="shared" si="41"/>
        <v>2523</v>
      </c>
      <c r="E76" s="86">
        <f t="shared" si="42"/>
        <v>2623</v>
      </c>
      <c r="F76" s="278">
        <f t="shared" si="31"/>
        <v>-100</v>
      </c>
      <c r="G76" s="86">
        <f>Punteggio!D37</f>
        <v>71</v>
      </c>
      <c r="H76" s="86">
        <v>77.5</v>
      </c>
      <c r="I76" s="86">
        <f t="shared" si="43"/>
        <v>2613.5</v>
      </c>
      <c r="J76" s="86">
        <f t="shared" si="44"/>
        <v>2645</v>
      </c>
      <c r="K76" s="278">
        <f t="shared" si="32"/>
        <v>-31.5</v>
      </c>
      <c r="L76" s="86">
        <f>Punteggio!F37</f>
        <v>61.5</v>
      </c>
      <c r="M76" s="86">
        <v>65</v>
      </c>
      <c r="N76" s="86">
        <f t="shared" si="45"/>
        <v>2613</v>
      </c>
      <c r="O76" s="86">
        <f t="shared" si="46"/>
        <v>2515.5</v>
      </c>
      <c r="P76" s="278">
        <f t="shared" si="33"/>
        <v>97.5</v>
      </c>
      <c r="Q76" s="86">
        <f>Punteggio!H37</f>
        <v>53.5</v>
      </c>
      <c r="R76" s="86">
        <v>70</v>
      </c>
      <c r="S76" s="86">
        <f t="shared" si="47"/>
        <v>2504</v>
      </c>
      <c r="T76" s="86">
        <f t="shared" si="48"/>
        <v>2573</v>
      </c>
      <c r="U76" s="278">
        <f t="shared" si="34"/>
        <v>-69</v>
      </c>
      <c r="V76" s="86">
        <f>Punteggio!J37</f>
        <v>83.5</v>
      </c>
      <c r="W76" s="86">
        <v>78.5</v>
      </c>
      <c r="X76" s="86">
        <f t="shared" si="49"/>
        <v>2667.5</v>
      </c>
      <c r="Y76" s="86">
        <f t="shared" si="50"/>
        <v>2605</v>
      </c>
      <c r="Z76" s="278">
        <f t="shared" si="35"/>
        <v>62.5</v>
      </c>
      <c r="AA76" s="86">
        <f>Punteggio!L37</f>
        <v>65.5</v>
      </c>
      <c r="AB76" s="86">
        <v>77</v>
      </c>
      <c r="AC76" s="86">
        <f t="shared" si="51"/>
        <v>2542</v>
      </c>
      <c r="AD76" s="86">
        <f t="shared" si="52"/>
        <v>2589</v>
      </c>
      <c r="AE76" s="278">
        <f t="shared" si="36"/>
        <v>-47</v>
      </c>
      <c r="AF76" s="86">
        <f>Punteggio!N37</f>
        <v>72.5</v>
      </c>
      <c r="AG76" s="86">
        <v>72.5</v>
      </c>
      <c r="AH76" s="86">
        <f t="shared" si="53"/>
        <v>2584</v>
      </c>
      <c r="AI76" s="86">
        <f t="shared" si="54"/>
        <v>2564.5</v>
      </c>
      <c r="AJ76" s="278">
        <f t="shared" si="37"/>
        <v>19.5</v>
      </c>
      <c r="AK76" s="86">
        <f>Punteggio!P37</f>
        <v>78</v>
      </c>
      <c r="AL76" s="86">
        <v>79</v>
      </c>
      <c r="AM76" s="86">
        <f t="shared" si="55"/>
        <v>2577.5</v>
      </c>
      <c r="AN76" s="86">
        <f t="shared" si="56"/>
        <v>2676</v>
      </c>
      <c r="AO76" s="278">
        <f t="shared" si="38"/>
        <v>-98.5</v>
      </c>
      <c r="AP76" s="86">
        <f>Punteggio!R37</f>
        <v>76</v>
      </c>
      <c r="AQ76" s="86">
        <v>75</v>
      </c>
      <c r="AR76" s="86">
        <f t="shared" si="57"/>
        <v>2548</v>
      </c>
      <c r="AS76" s="86">
        <f t="shared" si="58"/>
        <v>2644</v>
      </c>
      <c r="AT76" s="278">
        <f t="shared" si="39"/>
        <v>-96</v>
      </c>
      <c r="AU76" s="86">
        <f>Punteggio!T37</f>
        <v>74</v>
      </c>
      <c r="AV76" s="86">
        <v>73.5</v>
      </c>
      <c r="AW76" s="86">
        <f t="shared" si="59"/>
        <v>2608</v>
      </c>
      <c r="AX76" s="86">
        <f t="shared" si="60"/>
        <v>2637.5</v>
      </c>
      <c r="AY76" s="278">
        <f t="shared" si="40"/>
        <v>-29.5</v>
      </c>
    </row>
    <row r="77" spans="1:51" ht="15" x14ac:dyDescent="0.2">
      <c r="A77" s="276">
        <v>36</v>
      </c>
      <c r="B77" s="86"/>
      <c r="C77" s="86"/>
      <c r="D77" s="86"/>
      <c r="E77" s="86"/>
      <c r="F77" s="278"/>
      <c r="G77" s="86"/>
      <c r="H77" s="86"/>
      <c r="I77" s="86"/>
      <c r="J77" s="86"/>
      <c r="K77" s="278"/>
      <c r="L77" s="86"/>
      <c r="M77" s="86"/>
      <c r="N77" s="86"/>
      <c r="O77" s="86"/>
      <c r="P77" s="278"/>
      <c r="Q77" s="86"/>
      <c r="R77" s="86"/>
      <c r="S77" s="86"/>
      <c r="T77" s="86"/>
      <c r="U77" s="278"/>
      <c r="V77" s="86"/>
      <c r="W77" s="86"/>
      <c r="X77" s="86"/>
      <c r="Y77" s="86"/>
      <c r="Z77" s="278"/>
      <c r="AA77" s="86"/>
      <c r="AB77" s="86"/>
      <c r="AC77" s="86"/>
      <c r="AD77" s="86"/>
      <c r="AE77" s="278"/>
      <c r="AF77" s="86"/>
      <c r="AG77" s="86"/>
      <c r="AH77" s="86"/>
      <c r="AI77" s="86"/>
      <c r="AJ77" s="278"/>
      <c r="AK77" s="86"/>
      <c r="AL77" s="86"/>
      <c r="AM77" s="86"/>
      <c r="AN77" s="86"/>
      <c r="AO77" s="278"/>
      <c r="AP77" s="86"/>
      <c r="AQ77" s="86"/>
      <c r="AR77" s="86"/>
      <c r="AS77" s="86"/>
      <c r="AT77" s="278"/>
      <c r="AU77" s="86"/>
      <c r="AV77" s="86"/>
      <c r="AW77" s="86"/>
      <c r="AX77" s="86"/>
      <c r="AY77" s="278"/>
    </row>
  </sheetData>
  <mergeCells count="10">
    <mergeCell ref="AF1:AJ1"/>
    <mergeCell ref="AK1:AO1"/>
    <mergeCell ref="AP1:AT1"/>
    <mergeCell ref="AU1:AY1"/>
    <mergeCell ref="B1:F1"/>
    <mergeCell ref="G1:K1"/>
    <mergeCell ref="L1:P1"/>
    <mergeCell ref="Q1:U1"/>
    <mergeCell ref="V1:Z1"/>
    <mergeCell ref="AA1:AE1"/>
  </mergeCells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DF38FD15C149A242B508419303139D72" ma:contentTypeVersion="12" ma:contentTypeDescription="Create a new document." ma:contentTypeScope="" ma:versionID="18a2876b2ff47f08feac926ff89c152b">
  <xsd:schema xmlns:xsd="http://www.w3.org/2001/XMLSchema" xmlns:xs="http://www.w3.org/2001/XMLSchema" xmlns:p="http://schemas.microsoft.com/office/2006/metadata/properties" xmlns:ns3="c345a2a1-bac6-4984-95d8-0c313f3187c4" xmlns:ns4="9d0f0dbf-bea5-4efd-b719-b2f98dce6347" targetNamespace="http://schemas.microsoft.com/office/2006/metadata/properties" ma:root="true" ma:fieldsID="bbf520d2edf21d1707ffe4d8ae452fa9" ns3:_="" ns4:_="">
    <xsd:import namespace="c345a2a1-bac6-4984-95d8-0c313f3187c4"/>
    <xsd:import namespace="9d0f0dbf-bea5-4efd-b719-b2f98dce634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5a2a1-bac6-4984-95d8-0c313f3187c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0f0dbf-bea5-4efd-b719-b2f98dce6347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default="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0f0dbf-bea5-4efd-b719-b2f98dce6347" xsi:nil="true"/>
  </documentManagement>
</p:properties>
</file>

<file path=customXml/itemProps1.xml><?xml version="1.0" encoding="utf-8"?>
<ds:datastoreItem xmlns:ds="http://schemas.openxmlformats.org/officeDocument/2006/customXml" ds:itemID="{F499372E-9244-4827-A21B-19248DAC07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45a2a1-bac6-4984-95d8-0c313f3187c4"/>
    <ds:schemaRef ds:uri="9d0f0dbf-bea5-4efd-b719-b2f98dce63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FD0B42-F706-48EC-9600-12060ADAE7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D93524-0CC3-4659-B730-CA3AB011B0B8}">
  <ds:schemaRefs>
    <ds:schemaRef ds:uri="http://purl.org/dc/terms/"/>
    <ds:schemaRef ds:uri="http://purl.org/dc/dcmitype/"/>
    <ds:schemaRef ds:uri="http://schemas.microsoft.com/office/2006/documentManagement/types"/>
    <ds:schemaRef ds:uri="9d0f0dbf-bea5-4efd-b719-b2f98dce6347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c345a2a1-bac6-4984-95d8-0c313f3187c4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Lega 10</vt:lpstr>
      <vt:lpstr>Panchine</vt:lpstr>
      <vt:lpstr>FantaCulo</vt:lpstr>
      <vt:lpstr>Punteggio</vt:lpstr>
      <vt:lpstr>Grafici Fantaculo</vt:lpstr>
      <vt:lpstr>Formula 1</vt:lpstr>
      <vt:lpstr>Partite</vt:lpstr>
      <vt:lpstr>Bonus-Malus</vt:lpstr>
      <vt:lpstr>Bonus-Malus Avversari</vt:lpstr>
      <vt:lpstr>Tutti vs Tutti e Punti contro</vt:lpstr>
      <vt:lpstr>Valore Rosa</vt:lpstr>
      <vt:lpstr>Totali Partite dal 2016</vt:lpstr>
      <vt:lpstr>Totali Bonus Malus dal 2017</vt:lpstr>
      <vt:lpstr>Albo D'Oro</vt:lpstr>
      <vt:lpstr>Previsioni</vt:lpstr>
      <vt:lpstr>RAW DATA andamento</vt:lpstr>
      <vt:lpstr>Calcolo Delta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Strano</dc:creator>
  <cp:lastModifiedBy>Andrea Giori</cp:lastModifiedBy>
  <cp:revision>12</cp:revision>
  <dcterms:created xsi:type="dcterms:W3CDTF">2009-04-16T11:32:48Z</dcterms:created>
  <dcterms:modified xsi:type="dcterms:W3CDTF">2026-06-02T14:32:24Z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  <property fmtid="{D5CDD505-2E9C-101B-9397-08002B2CF9AE}" pid="6" name="_AdHocReviewCycleID">
    <vt:i4>-1801474820</vt:i4>
  </property>
  <property fmtid="{D5CDD505-2E9C-101B-9397-08002B2CF9AE}" pid="7" name="_NewReviewCycle">
    <vt:lpwstr/>
  </property>
  <property fmtid="{D5CDD505-2E9C-101B-9397-08002B2CF9AE}" pid="8" name="_EmailSubject">
    <vt:lpwstr>documento statistiche</vt:lpwstr>
  </property>
  <property fmtid="{D5CDD505-2E9C-101B-9397-08002B2CF9AE}" pid="9" name="_AuthorEmail">
    <vt:lpwstr>andrea.giori@siemens.com</vt:lpwstr>
  </property>
  <property fmtid="{D5CDD505-2E9C-101B-9397-08002B2CF9AE}" pid="10" name="_AuthorEmailDisplayName">
    <vt:lpwstr>Giori, Andrea (DF PL DER S&amp;SE EMEA GES)</vt:lpwstr>
  </property>
  <property fmtid="{D5CDD505-2E9C-101B-9397-08002B2CF9AE}" pid="11" name="_ReviewingToolsShownOnce">
    <vt:lpwstr/>
  </property>
  <property fmtid="{D5CDD505-2E9C-101B-9397-08002B2CF9AE}" pid="12" name="ContentTypeId">
    <vt:lpwstr>0x010100DF38FD15C149A242B508419303139D72</vt:lpwstr>
  </property>
</Properties>
</file>